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rojections" sheetId="2" state="visible" r:id="rId2"/>
    <sheet name="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3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0" fontId="1" fillId="3" borderId="0" pivotButton="0" quotePrefix="0" xfId="0"/>
    <xf numFmtId="165" fontId="0" fillId="0" borderId="1" pivotButton="0" quotePrefix="0" xfId="0"/>
    <xf numFmtId="3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s="2" t="inlineStr">
        <is>
          <t>Growth Rate</t>
        </is>
      </c>
      <c r="B2" s="3" t="n">
        <v>0.1</v>
      </c>
    </row>
    <row r="3">
      <c r="A3" s="2" t="inlineStr">
        <is>
          <t>EBITDA Margin</t>
        </is>
      </c>
      <c r="B3" s="3" t="n">
        <v>0.2</v>
      </c>
    </row>
    <row r="4">
      <c r="A4" s="2" t="inlineStr">
        <is>
          <t>WACC</t>
        </is>
      </c>
      <c r="B4" s="3" t="n">
        <v>0.08</v>
      </c>
    </row>
    <row r="5">
      <c r="A5" s="2" t="inlineStr">
        <is>
          <t>Tax Rate</t>
        </is>
      </c>
      <c r="B5" s="3" t="n">
        <v>0.25</v>
      </c>
    </row>
    <row r="6">
      <c r="A6" s="2" t="inlineStr">
        <is>
          <t>Projection Years</t>
        </is>
      </c>
      <c r="B6" s="4" t="n">
        <v>5</v>
      </c>
    </row>
    <row r="7">
      <c r="A7" s="2" t="inlineStr">
        <is>
          <t>Terminal Growth Rate</t>
        </is>
      </c>
      <c r="B7" s="3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7" customWidth="1" min="3" max="3"/>
    <col width="27" customWidth="1" min="4" max="4"/>
    <col width="27" customWidth="1" min="5" max="5"/>
    <col width="27" customWidth="1" min="6" max="6"/>
  </cols>
  <sheetData>
    <row r="1">
      <c r="A1" s="1" t="inlineStr">
        <is>
          <t>Year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5" t="inlineStr">
        <is>
          <t>Revenue</t>
        </is>
      </c>
      <c r="B2" s="2" t="n">
        <v>1000</v>
      </c>
      <c r="C2" s="2">
        <f>B2*(1+Assumptions!$B$2)</f>
        <v/>
      </c>
      <c r="D2" s="2">
        <f>B2*(1+Assumptions!$B$2)</f>
        <v/>
      </c>
      <c r="E2" s="2">
        <f>B2*(1+Assumptions!$B$2)</f>
        <v/>
      </c>
      <c r="F2" s="2">
        <f>B2*(1+Assumptions!$B$2)</f>
        <v/>
      </c>
    </row>
    <row r="3">
      <c r="A3" s="5" t="inlineStr">
        <is>
          <t>EBITDA</t>
        </is>
      </c>
      <c r="B3" s="2">
        <f>B2*Assumptions!$B$3</f>
        <v/>
      </c>
      <c r="C3" s="2">
        <f>B2*Assumptions!$B$3</f>
        <v/>
      </c>
      <c r="D3" s="2">
        <f>B2*Assumptions!$B$3</f>
        <v/>
      </c>
      <c r="E3" s="2">
        <f>B2*Assumptions!$B$3</f>
        <v/>
      </c>
      <c r="F3" s="2">
        <f>B2*Assumptions!$B$3</f>
        <v/>
      </c>
    </row>
    <row r="4">
      <c r="A4" s="5" t="inlineStr">
        <is>
          <t>EBIT</t>
        </is>
      </c>
      <c r="B4" s="2">
        <f>B3</f>
        <v/>
      </c>
      <c r="C4" s="2">
        <f>B3</f>
        <v/>
      </c>
      <c r="D4" s="2">
        <f>B3</f>
        <v/>
      </c>
      <c r="E4" s="2">
        <f>B3</f>
        <v/>
      </c>
      <c r="F4" s="2">
        <f>B3</f>
        <v/>
      </c>
    </row>
    <row r="5">
      <c r="A5" s="5" t="inlineStr">
        <is>
          <t>Taxes</t>
        </is>
      </c>
      <c r="B5" s="2">
        <f>B4*Assumptions!$B$5</f>
        <v/>
      </c>
      <c r="C5" s="2">
        <f>B4*Assumptions!$B$5</f>
        <v/>
      </c>
      <c r="D5" s="2">
        <f>B4*Assumptions!$B$5</f>
        <v/>
      </c>
      <c r="E5" s="2">
        <f>B4*Assumptions!$B$5</f>
        <v/>
      </c>
      <c r="F5" s="2">
        <f>B4*Assumptions!$B$5</f>
        <v/>
      </c>
    </row>
    <row r="6">
      <c r="A6" s="5" t="inlineStr">
        <is>
          <t>NOPAT</t>
        </is>
      </c>
      <c r="B6" s="2">
        <f>B4-B5</f>
        <v/>
      </c>
      <c r="C6" s="2">
        <f>B4-B5</f>
        <v/>
      </c>
      <c r="D6" s="2">
        <f>B4-B5</f>
        <v/>
      </c>
      <c r="E6" s="2">
        <f>B4-B5</f>
        <v/>
      </c>
      <c r="F6" s="2">
        <f>B4-B5</f>
        <v/>
      </c>
    </row>
    <row r="7">
      <c r="A7" s="5" t="inlineStr">
        <is>
          <t>FCF</t>
        </is>
      </c>
      <c r="B7" s="2">
        <f>B6</f>
        <v/>
      </c>
      <c r="C7" s="2">
        <f>B6</f>
        <v/>
      </c>
      <c r="D7" s="2">
        <f>B6</f>
        <v/>
      </c>
      <c r="E7" s="2">
        <f>B6</f>
        <v/>
      </c>
      <c r="F7" s="2">
        <f>B6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Valuation</t>
        </is>
      </c>
      <c r="B1" s="1" t="n"/>
    </row>
    <row r="2">
      <c r="A2" s="5" t="inlineStr">
        <is>
          <t>FCF Year 1</t>
        </is>
      </c>
      <c r="B2" s="2">
        <f>Projections!B7</f>
        <v/>
      </c>
    </row>
    <row r="3">
      <c r="A3" s="5" t="inlineStr">
        <is>
          <t>FCF Year 2</t>
        </is>
      </c>
      <c r="B3" s="2">
        <f>Projections!C7</f>
        <v/>
      </c>
    </row>
    <row r="4">
      <c r="A4" s="5" t="inlineStr">
        <is>
          <t>FCF Year 3</t>
        </is>
      </c>
      <c r="B4" s="2">
        <f>Projections!D7</f>
        <v/>
      </c>
    </row>
    <row r="5">
      <c r="A5" s="5" t="inlineStr">
        <is>
          <t>FCF Year 4</t>
        </is>
      </c>
      <c r="B5" s="2">
        <f>Projections!E7</f>
        <v/>
      </c>
    </row>
    <row r="6">
      <c r="A6" s="5" t="inlineStr">
        <is>
          <t>FCF Year 5</t>
        </is>
      </c>
      <c r="B6" s="2">
        <f>Projections!F7</f>
        <v/>
      </c>
    </row>
    <row r="7">
      <c r="A7" s="5" t="inlineStr">
        <is>
          <t>Terminal Value</t>
        </is>
      </c>
      <c r="B7" s="2">
        <f>B6*(1+Assumptions!$B$7)/(Assumptions!$B$4-Assumptions!$B$7)</f>
        <v/>
      </c>
    </row>
    <row r="8">
      <c r="A8" s="5" t="inlineStr">
        <is>
          <t>Discount Factor Year 1</t>
        </is>
      </c>
      <c r="B8" s="6">
        <f>1/(1+Assumptions!$B$4)^1</f>
        <v/>
      </c>
    </row>
    <row r="9">
      <c r="A9" s="5" t="inlineStr">
        <is>
          <t>Discount Factor Year 2</t>
        </is>
      </c>
      <c r="B9" s="6">
        <f>1/(1+Assumptions!$B$4)^2</f>
        <v/>
      </c>
    </row>
    <row r="10">
      <c r="A10" s="5" t="inlineStr">
        <is>
          <t>Discount Factor Year 3</t>
        </is>
      </c>
      <c r="B10" s="6">
        <f>1/(1+Assumptions!$B$4)^3</f>
        <v/>
      </c>
    </row>
    <row r="11">
      <c r="A11" s="5" t="inlineStr">
        <is>
          <t>Discount Factor Year 4</t>
        </is>
      </c>
      <c r="B11" s="6">
        <f>1/(1+Assumptions!$B$4)^4</f>
        <v/>
      </c>
    </row>
    <row r="12">
      <c r="A12" s="5" t="inlineStr">
        <is>
          <t>Discount Factor Year 5</t>
        </is>
      </c>
      <c r="B12" s="6">
        <f>1/(1+Assumptions!$B$4)^5</f>
        <v/>
      </c>
    </row>
    <row r="13">
      <c r="A13" s="5" t="inlineStr">
        <is>
          <t>Discount Factor Terminal</t>
        </is>
      </c>
      <c r="B13" s="6">
        <f>1/(1+Assumptions!$B$4)^5</f>
        <v/>
      </c>
    </row>
    <row r="14">
      <c r="A14" s="5" t="inlineStr">
        <is>
          <t>PV FCF Year 1</t>
        </is>
      </c>
      <c r="B14" s="2">
        <f>B2*B8</f>
        <v/>
      </c>
    </row>
    <row r="15">
      <c r="A15" s="5" t="inlineStr">
        <is>
          <t>PV FCF Year 2</t>
        </is>
      </c>
      <c r="B15" s="2">
        <f>B3*B9</f>
        <v/>
      </c>
    </row>
    <row r="16">
      <c r="A16" s="5" t="inlineStr">
        <is>
          <t>PV FCF Year 3</t>
        </is>
      </c>
      <c r="B16" s="2">
        <f>B4*B10</f>
        <v/>
      </c>
    </row>
    <row r="17">
      <c r="A17" s="5" t="inlineStr">
        <is>
          <t>PV FCF Year 4</t>
        </is>
      </c>
      <c r="B17" s="2">
        <f>B5*B11</f>
        <v/>
      </c>
    </row>
    <row r="18">
      <c r="A18" s="5" t="inlineStr">
        <is>
          <t>PV FCF Year 5</t>
        </is>
      </c>
      <c r="B18" s="2">
        <f>B6*B12</f>
        <v/>
      </c>
    </row>
    <row r="19">
      <c r="A19" s="5" t="inlineStr">
        <is>
          <t>PV Terminal Value</t>
        </is>
      </c>
      <c r="B19" s="2">
        <f>B7*B13</f>
        <v/>
      </c>
    </row>
    <row r="20">
      <c r="A20" s="5" t="inlineStr">
        <is>
          <t>Enterprise Value</t>
        </is>
      </c>
      <c r="B20" s="7">
        <f>SUM(B14:B19)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2026-06-04T11:26:01Z</dcterms:created>
  <dcterms:modified xsi:type="dcterms:W3CDTF">2026-06-04T11:26:01Z</dcterms:modified>
</cp:coreProperties>
</file>