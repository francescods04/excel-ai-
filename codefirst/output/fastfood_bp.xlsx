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enu" sheetId="2" state="visible" r:id="rId2"/>
    <sheet name="Personnel" sheetId="3" state="visible" r:id="rId3"/>
    <sheet name="Revenue" sheetId="4" state="visible" r:id="rId4"/>
    <sheet name="PnL" sheetId="5" state="visible" r:id="rId5"/>
    <sheet name="CashFlow" sheetId="6" state="visible" r:id="rId6"/>
    <sheet name="BreakEven" sheetId="7" state="visible" r:id="rId7"/>
    <sheet name="ScaleUp" sheetId="8" state="visible" r:id="rId8"/>
    <sheet name="Valuation" sheetId="9" state="visible" r:id="rId9"/>
    <sheet name="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€#,##0"/>
    <numFmt numFmtId="165" formatCode="0.0%"/>
    <numFmt numFmtId="166" formatCode="€#,##0.00"/>
    <numFmt numFmtId="167" formatCode="0.0x"/>
    <numFmt numFmtId="168" formatCode="0.0"/>
    <numFmt numFmtId="169" formatCode="0.00x"/>
    <numFmt numFmtId="170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Assumptions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Affitto mensile Milano</t>
        </is>
      </c>
      <c r="B3" s="4" t="n">
        <v>8000</v>
      </c>
    </row>
    <row r="4">
      <c r="A4" s="3" t="inlineStr">
        <is>
          <t>Food Cost %</t>
        </is>
      </c>
      <c r="B4" s="5" t="n">
        <v>0.28</v>
      </c>
    </row>
    <row r="5">
      <c r="A5" s="3" t="inlineStr">
        <is>
          <t>Labor Cost %</t>
        </is>
      </c>
      <c r="B5" s="5" t="n">
        <v>0.22</v>
      </c>
    </row>
    <row r="6">
      <c r="A6" s="3" t="inlineStr">
        <is>
          <t>Utenze %</t>
        </is>
      </c>
      <c r="B6" s="5" t="n">
        <v>0.03</v>
      </c>
    </row>
    <row r="7">
      <c r="A7" s="3" t="inlineStr">
        <is>
          <t>Marketing %</t>
        </is>
      </c>
      <c r="B7" s="5" t="n">
        <v>0.02</v>
      </c>
    </row>
    <row r="8">
      <c r="A8" s="3" t="inlineStr">
        <is>
          <t>Scontrino medio €</t>
        </is>
      </c>
      <c r="B8" s="6" t="n">
        <v>18</v>
      </c>
    </row>
    <row r="9">
      <c r="A9" s="3" t="inlineStr">
        <is>
          <t>Coperti/giorno</t>
        </is>
      </c>
      <c r="B9" s="7" t="n">
        <v>120</v>
      </c>
    </row>
    <row r="10">
      <c r="A10" s="3" t="inlineStr">
        <is>
          <t>Capex apertura €</t>
        </is>
      </c>
      <c r="B10" s="4" t="n">
        <v>350000</v>
      </c>
    </row>
    <row r="11">
      <c r="A11" s="3" t="inlineStr">
        <is>
          <t>Multiplo EBITDA exit</t>
        </is>
      </c>
      <c r="B11" s="8" t="n">
        <v>8</v>
      </c>
    </row>
    <row r="12">
      <c r="A12" s="3" t="inlineStr">
        <is>
          <t>Giorni apertura/mese</t>
        </is>
      </c>
      <c r="B12" s="7" t="n">
        <v>30</v>
      </c>
    </row>
    <row r="13">
      <c r="A13" s="3" t="inlineStr">
        <is>
          <t>WACC</t>
        </is>
      </c>
      <c r="B13" s="5" t="n">
        <v>0.09</v>
      </c>
    </row>
    <row r="14">
      <c r="A14" s="3" t="inlineStr">
        <is>
          <t>Crescita perpetua</t>
        </is>
      </c>
      <c r="B14" s="5" t="n">
        <v>0.02</v>
      </c>
    </row>
    <row r="15">
      <c r="A15" s="3" t="inlineStr">
        <is>
          <t>IRES</t>
        </is>
      </c>
      <c r="B15" s="5" t="n">
        <v>0.24</v>
      </c>
    </row>
    <row r="16">
      <c r="A16" s="3" t="inlineStr">
        <is>
          <t>IRAP</t>
        </is>
      </c>
      <c r="B16" s="5" t="n">
        <v>0.039</v>
      </c>
    </row>
    <row r="17">
      <c r="A17" s="3" t="inlineStr">
        <is>
          <t>Loaded labor %</t>
        </is>
      </c>
      <c r="B17" s="8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3" customWidth="1" min="4" max="4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Price Single</t>
        </is>
      </c>
      <c r="D1" s="2" t="inlineStr">
        <is>
          <t>Price Menu</t>
        </is>
      </c>
    </row>
    <row r="2">
      <c r="A2" s="3" t="inlineStr">
        <is>
          <t>Starters</t>
        </is>
      </c>
      <c r="B2" s="3" t="inlineStr">
        <is>
          <t>MOCHO'S BITES</t>
        </is>
      </c>
      <c r="C2" s="6" t="n">
        <v>6.9</v>
      </c>
      <c r="D2" s="6" t="inlineStr"/>
    </row>
    <row r="3">
      <c r="A3" s="3" t="inlineStr"/>
      <c r="B3" s="3" t="inlineStr">
        <is>
          <t>CHICKEN TENDERS</t>
        </is>
      </c>
      <c r="C3" s="6" t="n">
        <v>6.9</v>
      </c>
      <c r="D3" s="6" t="inlineStr"/>
    </row>
    <row r="4">
      <c r="A4" s="3" t="inlineStr">
        <is>
          <t>Burger</t>
        </is>
      </c>
      <c r="B4" s="3" t="inlineStr">
        <is>
          <t>L.A.</t>
        </is>
      </c>
      <c r="C4" s="6" t="n">
        <v>14.5</v>
      </c>
      <c r="D4" s="6" t="n">
        <v>21.9</v>
      </c>
    </row>
    <row r="5">
      <c r="A5" s="3" t="inlineStr"/>
      <c r="B5" s="3" t="inlineStr">
        <is>
          <t>CRISPY</t>
        </is>
      </c>
      <c r="C5" s="6" t="n">
        <v>14.5</v>
      </c>
      <c r="D5" s="6" t="n">
        <v>21.9</v>
      </c>
    </row>
    <row r="6">
      <c r="A6" s="3" t="inlineStr"/>
      <c r="B6" s="3" t="inlineStr">
        <is>
          <t>MAC 'N' CHEESE</t>
        </is>
      </c>
      <c r="C6" s="6" t="n">
        <v>15.5</v>
      </c>
      <c r="D6" s="6" t="n">
        <v>22.9</v>
      </c>
    </row>
    <row r="7">
      <c r="A7" s="3" t="inlineStr"/>
      <c r="B7" s="3" t="inlineStr">
        <is>
          <t>OKLAHOMA</t>
        </is>
      </c>
      <c r="C7" s="6" t="n">
        <v>15</v>
      </c>
      <c r="D7" s="6" t="n">
        <v>22.4</v>
      </c>
    </row>
    <row r="8">
      <c r="A8" s="3" t="inlineStr"/>
      <c r="B8" s="3" t="inlineStr">
        <is>
          <t>JUNIOR</t>
        </is>
      </c>
      <c r="C8" s="6" t="n">
        <v>8.5</v>
      </c>
      <c r="D8" s="6" t="inlineStr"/>
    </row>
    <row r="9">
      <c r="A9" s="3" t="inlineStr">
        <is>
          <t>Sandwiches</t>
        </is>
      </c>
      <c r="B9" s="3" t="inlineStr">
        <is>
          <t>PASTRAMI</t>
        </is>
      </c>
      <c r="C9" s="6" t="n">
        <v>19</v>
      </c>
      <c r="D9" s="6" t="n">
        <v>26.4</v>
      </c>
    </row>
    <row r="10">
      <c r="A10" s="3" t="inlineStr"/>
      <c r="B10" s="3" t="inlineStr">
        <is>
          <t>THE O.G.</t>
        </is>
      </c>
      <c r="C10" s="6" t="n">
        <v>14.5</v>
      </c>
      <c r="D10" s="6" t="n">
        <v>21.9</v>
      </c>
    </row>
    <row r="11">
      <c r="A11" s="3" t="inlineStr">
        <is>
          <t>Hot Dogs</t>
        </is>
      </c>
      <c r="B11" s="3" t="inlineStr">
        <is>
          <t>BACON DOG</t>
        </is>
      </c>
      <c r="C11" s="6" t="n">
        <v>8</v>
      </c>
      <c r="D11" s="6" t="n">
        <v>15.4</v>
      </c>
    </row>
    <row r="12">
      <c r="A12" s="3" t="inlineStr"/>
      <c r="B12" s="3" t="inlineStr">
        <is>
          <t>CHILI DOG</t>
        </is>
      </c>
      <c r="C12" s="6" t="n">
        <v>9</v>
      </c>
      <c r="D12" s="6" t="n">
        <v>16.4</v>
      </c>
    </row>
    <row r="13">
      <c r="A13" s="3" t="inlineStr">
        <is>
          <t>Sides</t>
        </is>
      </c>
      <c r="B13" s="3" t="inlineStr">
        <is>
          <t>CRISPY FRIES</t>
        </is>
      </c>
      <c r="C13" s="6" t="n">
        <v>5.5</v>
      </c>
      <c r="D13" s="6" t="inlineStr"/>
    </row>
    <row r="14">
      <c r="A14" s="3" t="inlineStr"/>
      <c r="B14" s="3" t="inlineStr">
        <is>
          <t>BACON FRIES</t>
        </is>
      </c>
      <c r="C14" s="6" t="n">
        <v>6.5</v>
      </c>
      <c r="D14" s="6" t="inlineStr"/>
    </row>
    <row r="15">
      <c r="A15" s="3" t="inlineStr"/>
      <c r="B15" s="3" t="inlineStr">
        <is>
          <t>CHILI FRIES</t>
        </is>
      </c>
      <c r="C15" s="6" t="n">
        <v>6.5</v>
      </c>
      <c r="D15" s="6" t="inlineStr"/>
    </row>
    <row r="16">
      <c r="A16" s="3" t="inlineStr"/>
      <c r="B16" s="3" t="inlineStr">
        <is>
          <t>MAC 'N' CHEESE</t>
        </is>
      </c>
      <c r="C16" s="6" t="n">
        <v>6.5</v>
      </c>
      <c r="D16" s="6" t="inlineStr"/>
    </row>
    <row r="17">
      <c r="A17" s="3" t="inlineStr">
        <is>
          <t>Sweets</t>
        </is>
      </c>
      <c r="B17" s="3" t="inlineStr">
        <is>
          <t>BANANA PUDDING</t>
        </is>
      </c>
      <c r="C17" s="6" t="n">
        <v>4.9</v>
      </c>
      <c r="D17" s="6" t="inlineStr"/>
    </row>
    <row r="18">
      <c r="A18" s="3" t="inlineStr"/>
      <c r="B18" s="3" t="inlineStr">
        <is>
          <t>GLAZED DONUT</t>
        </is>
      </c>
      <c r="C18" s="6" t="n">
        <v>2.5</v>
      </c>
      <c r="D18" s="6" t="inlineStr"/>
    </row>
    <row r="19">
      <c r="A19" s="3" t="inlineStr">
        <is>
          <t>Milkshakes</t>
        </is>
      </c>
      <c r="B19" s="3" t="inlineStr">
        <is>
          <t>Vaniglia, PB, Banana, Fragola, Cioccolato, Oreo</t>
        </is>
      </c>
      <c r="C19" s="6" t="n">
        <v>6</v>
      </c>
      <c r="D19" s="6" t="inlineStr"/>
    </row>
    <row r="20">
      <c r="A20" s="3" t="inlineStr">
        <is>
          <t>Drinks</t>
        </is>
      </c>
      <c r="B20" s="3" t="inlineStr">
        <is>
          <t>Acqua</t>
        </is>
      </c>
      <c r="C20" s="6" t="n">
        <v>2</v>
      </c>
      <c r="D20" s="6" t="inlineStr"/>
    </row>
    <row r="21">
      <c r="A21" s="3" t="inlineStr"/>
      <c r="B21" s="3" t="inlineStr">
        <is>
          <t>FREE REFILL</t>
        </is>
      </c>
      <c r="C21" s="6" t="n">
        <v>4.5</v>
      </c>
      <c r="D21" s="6" t="inlineStr"/>
    </row>
    <row r="22">
      <c r="A22" s="3" t="inlineStr"/>
      <c r="B22" s="3" t="inlineStr">
        <is>
          <t>Birra Raw</t>
        </is>
      </c>
      <c r="C22" s="6" t="n">
        <v>5.5</v>
      </c>
      <c r="D2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8" customWidth="1" min="3" max="3"/>
    <col width="16" customWidth="1" min="4" max="4"/>
    <col width="25" customWidth="1" min="5" max="5"/>
  </cols>
  <sheetData>
    <row r="1">
      <c r="A1" s="2" t="inlineStr">
        <is>
          <t>Role</t>
        </is>
      </c>
      <c r="B1" s="2" t="inlineStr">
        <is>
          <t>Monthly Salary</t>
        </is>
      </c>
      <c r="C1" s="2" t="inlineStr">
        <is>
          <t>Count</t>
        </is>
      </c>
      <c r="D1" s="2" t="inlineStr">
        <is>
          <t>Total Monthly</t>
        </is>
      </c>
      <c r="E1" s="2" t="inlineStr">
        <is>
          <t>Annual Loaded</t>
        </is>
      </c>
    </row>
    <row r="2">
      <c r="A2" s="3" t="inlineStr">
        <is>
          <t>Store Manager</t>
        </is>
      </c>
      <c r="B2" s="4" t="n">
        <v>3500</v>
      </c>
      <c r="C2" s="4" t="n">
        <v>1</v>
      </c>
      <c r="D2" s="4">
        <f>B2*C2</f>
        <v/>
      </c>
      <c r="E2" s="4">
        <f>D2*12*Assumptions!B17</f>
        <v/>
      </c>
    </row>
    <row r="3">
      <c r="A3" s="3" t="inlineStr">
        <is>
          <t>Shift Leader</t>
        </is>
      </c>
      <c r="B3" s="4" t="n">
        <v>2400</v>
      </c>
      <c r="C3" s="4" t="n">
        <v>2</v>
      </c>
      <c r="D3" s="4">
        <f>B3*C3</f>
        <v/>
      </c>
      <c r="E3" s="4">
        <f>D3*12*Assumptions!B17</f>
        <v/>
      </c>
    </row>
    <row r="4">
      <c r="A4" s="3" t="inlineStr">
        <is>
          <t>Crew</t>
        </is>
      </c>
      <c r="B4" s="4" t="n">
        <v>1500</v>
      </c>
      <c r="C4" s="4" t="n">
        <v>6</v>
      </c>
      <c r="D4" s="4">
        <f>B4*C4</f>
        <v/>
      </c>
      <c r="E4" s="4">
        <f>D4*12*Assumptions!B17</f>
        <v/>
      </c>
    </row>
    <row r="5">
      <c r="A5" s="3" t="inlineStr">
        <is>
          <t>Total</t>
        </is>
      </c>
      <c r="B5" s="4" t="inlineStr"/>
      <c r="C5" s="4" t="inlineStr"/>
      <c r="D5" s="4">
        <f>SUM(D2:D4)</f>
        <v/>
      </c>
      <c r="E5" s="4">
        <f>SUM(E2:E4)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8" customWidth="1" min="3" max="3"/>
    <col width="28" customWidth="1" min="4" max="4"/>
    <col width="19" customWidth="1" min="5" max="5"/>
    <col width="21" customWidth="1" min="6" max="6"/>
    <col width="19" customWidth="1" min="7" max="7"/>
  </cols>
  <sheetData>
    <row r="1">
      <c r="A1" s="2" t="inlineStr">
        <is>
          <t>Month</t>
        </is>
      </c>
      <c r="B1" s="2" t="inlineStr">
        <is>
          <t>Year</t>
        </is>
      </c>
      <c r="C1" s="2" t="inlineStr">
        <is>
          <t>Coperti/giorno</t>
        </is>
      </c>
      <c r="D1" s="2" t="inlineStr">
        <is>
          <t>Scontrino medio</t>
        </is>
      </c>
      <c r="E1" s="2" t="inlineStr">
        <is>
          <t>Giorni</t>
        </is>
      </c>
      <c r="F1" s="2" t="inlineStr">
        <is>
          <t>Seasonality Factor</t>
        </is>
      </c>
      <c r="G1" s="2" t="inlineStr">
        <is>
          <t>Revenue</t>
        </is>
      </c>
    </row>
    <row r="2">
      <c r="A2" s="3" t="inlineStr">
        <is>
          <t>Jan-2024</t>
        </is>
      </c>
      <c r="B2" s="3" t="n">
        <v>2024</v>
      </c>
      <c r="C2" s="7">
        <f>Assumptions!B9*1</f>
        <v/>
      </c>
      <c r="D2" s="6">
        <f>Assumptions!B8*1</f>
        <v/>
      </c>
      <c r="E2" s="7">
        <f>Assumptions!B12</f>
        <v/>
      </c>
      <c r="F2" s="5" t="n">
        <v>0.8700961894323342</v>
      </c>
      <c r="G2" s="4">
        <f>C2*D2*E2*F2</f>
        <v/>
      </c>
    </row>
    <row r="3">
      <c r="A3" s="3" t="inlineStr">
        <is>
          <t>Feb-2024</t>
        </is>
      </c>
      <c r="B3" s="3" t="n">
        <v>2024</v>
      </c>
      <c r="C3" s="7">
        <f>Assumptions!B9*1</f>
        <v/>
      </c>
      <c r="D3" s="6">
        <f>Assumptions!B8*1</f>
        <v/>
      </c>
      <c r="E3" s="7">
        <f>Assumptions!B12</f>
        <v/>
      </c>
      <c r="F3" s="5" t="n">
        <v>0.925</v>
      </c>
      <c r="G3" s="4">
        <f>C3*D3*E3*F3</f>
        <v/>
      </c>
    </row>
    <row r="4">
      <c r="A4" s="3" t="inlineStr">
        <is>
          <t>Mar-2024</t>
        </is>
      </c>
      <c r="B4" s="3" t="n">
        <v>2024</v>
      </c>
      <c r="C4" s="7">
        <f>Assumptions!B9*1</f>
        <v/>
      </c>
      <c r="D4" s="6">
        <f>Assumptions!B8*1</f>
        <v/>
      </c>
      <c r="E4" s="7">
        <f>Assumptions!B12</f>
        <v/>
      </c>
      <c r="F4" s="5" t="n">
        <v>1</v>
      </c>
      <c r="G4" s="4">
        <f>C4*D4*E4*F4</f>
        <v/>
      </c>
    </row>
    <row r="5">
      <c r="A5" s="3" t="inlineStr">
        <is>
          <t>Apr-2024</t>
        </is>
      </c>
      <c r="B5" s="3" t="n">
        <v>2024</v>
      </c>
      <c r="C5" s="7">
        <f>Assumptions!B9*1</f>
        <v/>
      </c>
      <c r="D5" s="6">
        <f>Assumptions!B8*1</f>
        <v/>
      </c>
      <c r="E5" s="7">
        <f>Assumptions!B12</f>
        <v/>
      </c>
      <c r="F5" s="5" t="n">
        <v>1.075</v>
      </c>
      <c r="G5" s="4">
        <f>C5*D5*E5*F5</f>
        <v/>
      </c>
    </row>
    <row r="6">
      <c r="A6" s="3" t="inlineStr">
        <is>
          <t>May-2024</t>
        </is>
      </c>
      <c r="B6" s="3" t="n">
        <v>2024</v>
      </c>
      <c r="C6" s="7">
        <f>Assumptions!B9*1</f>
        <v/>
      </c>
      <c r="D6" s="6">
        <f>Assumptions!B8*1</f>
        <v/>
      </c>
      <c r="E6" s="7">
        <f>Assumptions!B12</f>
        <v/>
      </c>
      <c r="F6" s="5" t="n">
        <v>1.129903810567666</v>
      </c>
      <c r="G6" s="4">
        <f>C6*D6*E6*F6</f>
        <v/>
      </c>
    </row>
    <row r="7">
      <c r="A7" s="3" t="inlineStr">
        <is>
          <t>Jun-2024</t>
        </is>
      </c>
      <c r="B7" s="3" t="n">
        <v>2024</v>
      </c>
      <c r="C7" s="7">
        <f>Assumptions!B9*1</f>
        <v/>
      </c>
      <c r="D7" s="6">
        <f>Assumptions!B8*1</f>
        <v/>
      </c>
      <c r="E7" s="7">
        <f>Assumptions!B12</f>
        <v/>
      </c>
      <c r="F7" s="5" t="n">
        <v>1.15</v>
      </c>
      <c r="G7" s="4">
        <f>C7*D7*E7*F7</f>
        <v/>
      </c>
    </row>
    <row r="8">
      <c r="A8" s="3" t="inlineStr">
        <is>
          <t>Jul-2024</t>
        </is>
      </c>
      <c r="B8" s="3" t="n">
        <v>2024</v>
      </c>
      <c r="C8" s="7">
        <f>Assumptions!B9*1</f>
        <v/>
      </c>
      <c r="D8" s="6">
        <f>Assumptions!B8*1</f>
        <v/>
      </c>
      <c r="E8" s="7">
        <f>Assumptions!B12</f>
        <v/>
      </c>
      <c r="F8" s="5" t="n">
        <v>1.129903810567666</v>
      </c>
      <c r="G8" s="4">
        <f>C8*D8*E8*F8</f>
        <v/>
      </c>
    </row>
    <row r="9">
      <c r="A9" s="3" t="inlineStr">
        <is>
          <t>Aug-2024</t>
        </is>
      </c>
      <c r="B9" s="3" t="n">
        <v>2024</v>
      </c>
      <c r="C9" s="7">
        <f>Assumptions!B9*1</f>
        <v/>
      </c>
      <c r="D9" s="6">
        <f>Assumptions!B8*1</f>
        <v/>
      </c>
      <c r="E9" s="7">
        <f>Assumptions!B12</f>
        <v/>
      </c>
      <c r="F9" s="5" t="n">
        <v>1.075</v>
      </c>
      <c r="G9" s="4">
        <f>C9*D9*E9*F9</f>
        <v/>
      </c>
    </row>
    <row r="10">
      <c r="A10" s="3" t="inlineStr">
        <is>
          <t>Sep-2024</t>
        </is>
      </c>
      <c r="B10" s="3" t="n">
        <v>2024</v>
      </c>
      <c r="C10" s="7">
        <f>Assumptions!B9*1</f>
        <v/>
      </c>
      <c r="D10" s="6">
        <f>Assumptions!B8*1</f>
        <v/>
      </c>
      <c r="E10" s="7">
        <f>Assumptions!B12</f>
        <v/>
      </c>
      <c r="F10" s="5" t="n">
        <v>1</v>
      </c>
      <c r="G10" s="4">
        <f>C10*D10*E10*F10</f>
        <v/>
      </c>
    </row>
    <row r="11">
      <c r="A11" s="3" t="inlineStr">
        <is>
          <t>Oct-2024</t>
        </is>
      </c>
      <c r="B11" s="3" t="n">
        <v>2024</v>
      </c>
      <c r="C11" s="7">
        <f>Assumptions!B9*1</f>
        <v/>
      </c>
      <c r="D11" s="6">
        <f>Assumptions!B8*1</f>
        <v/>
      </c>
      <c r="E11" s="7">
        <f>Assumptions!B12</f>
        <v/>
      </c>
      <c r="F11" s="5" t="n">
        <v>0.925</v>
      </c>
      <c r="G11" s="4">
        <f>C11*D11*E11*F11</f>
        <v/>
      </c>
    </row>
    <row r="12">
      <c r="A12" s="3" t="inlineStr">
        <is>
          <t>Nov-2024</t>
        </is>
      </c>
      <c r="B12" s="3" t="n">
        <v>2024</v>
      </c>
      <c r="C12" s="7">
        <f>Assumptions!B9*1</f>
        <v/>
      </c>
      <c r="D12" s="6">
        <f>Assumptions!B8*1</f>
        <v/>
      </c>
      <c r="E12" s="7">
        <f>Assumptions!B12</f>
        <v/>
      </c>
      <c r="F12" s="5" t="n">
        <v>0.8700961894323342</v>
      </c>
      <c r="G12" s="4">
        <f>C12*D12*E12*F12</f>
        <v/>
      </c>
    </row>
    <row r="13">
      <c r="A13" s="3" t="inlineStr">
        <is>
          <t>Dec-2024</t>
        </is>
      </c>
      <c r="B13" s="3" t="n">
        <v>2024</v>
      </c>
      <c r="C13" s="7">
        <f>Assumptions!B9*1</f>
        <v/>
      </c>
      <c r="D13" s="6">
        <f>Assumptions!B8*1</f>
        <v/>
      </c>
      <c r="E13" s="7">
        <f>Assumptions!B12</f>
        <v/>
      </c>
      <c r="F13" s="5" t="n">
        <v>0.85</v>
      </c>
      <c r="G13" s="4">
        <f>C13*D13*E13*F13</f>
        <v/>
      </c>
    </row>
    <row r="14">
      <c r="A14" s="3" t="inlineStr">
        <is>
          <t>Jan-2025</t>
        </is>
      </c>
      <c r="B14" s="3" t="n">
        <v>2025</v>
      </c>
      <c r="C14" s="7">
        <f>Assumptions!B9*1.15</f>
        <v/>
      </c>
      <c r="D14" s="6">
        <f>Assumptions!B8*1.15</f>
        <v/>
      </c>
      <c r="E14" s="7">
        <f>Assumptions!B12</f>
        <v/>
      </c>
      <c r="F14" s="5" t="n">
        <v>0.8700961894323342</v>
      </c>
      <c r="G14" s="4">
        <f>C14*D14*E14*F14</f>
        <v/>
      </c>
    </row>
    <row r="15">
      <c r="A15" s="3" t="inlineStr">
        <is>
          <t>Feb-2025</t>
        </is>
      </c>
      <c r="B15" s="3" t="n">
        <v>2025</v>
      </c>
      <c r="C15" s="7">
        <f>Assumptions!B9*1.15</f>
        <v/>
      </c>
      <c r="D15" s="6">
        <f>Assumptions!B8*1.15</f>
        <v/>
      </c>
      <c r="E15" s="7">
        <f>Assumptions!B12</f>
        <v/>
      </c>
      <c r="F15" s="5" t="n">
        <v>0.925</v>
      </c>
      <c r="G15" s="4">
        <f>C15*D15*E15*F15</f>
        <v/>
      </c>
    </row>
    <row r="16">
      <c r="A16" s="3" t="inlineStr">
        <is>
          <t>Mar-2025</t>
        </is>
      </c>
      <c r="B16" s="3" t="n">
        <v>2025</v>
      </c>
      <c r="C16" s="7">
        <f>Assumptions!B9*1.15</f>
        <v/>
      </c>
      <c r="D16" s="6">
        <f>Assumptions!B8*1.15</f>
        <v/>
      </c>
      <c r="E16" s="7">
        <f>Assumptions!B12</f>
        <v/>
      </c>
      <c r="F16" s="5" t="n">
        <v>1</v>
      </c>
      <c r="G16" s="4">
        <f>C16*D16*E16*F16</f>
        <v/>
      </c>
    </row>
    <row r="17">
      <c r="A17" s="3" t="inlineStr">
        <is>
          <t>Apr-2025</t>
        </is>
      </c>
      <c r="B17" s="3" t="n">
        <v>2025</v>
      </c>
      <c r="C17" s="7">
        <f>Assumptions!B9*1.15</f>
        <v/>
      </c>
      <c r="D17" s="6">
        <f>Assumptions!B8*1.15</f>
        <v/>
      </c>
      <c r="E17" s="7">
        <f>Assumptions!B12</f>
        <v/>
      </c>
      <c r="F17" s="5" t="n">
        <v>1.075</v>
      </c>
      <c r="G17" s="4">
        <f>C17*D17*E17*F17</f>
        <v/>
      </c>
    </row>
    <row r="18">
      <c r="A18" s="3" t="inlineStr">
        <is>
          <t>May-2025</t>
        </is>
      </c>
      <c r="B18" s="3" t="n">
        <v>2025</v>
      </c>
      <c r="C18" s="7">
        <f>Assumptions!B9*1.15</f>
        <v/>
      </c>
      <c r="D18" s="6">
        <f>Assumptions!B8*1.15</f>
        <v/>
      </c>
      <c r="E18" s="7">
        <f>Assumptions!B12</f>
        <v/>
      </c>
      <c r="F18" s="5" t="n">
        <v>1.129903810567666</v>
      </c>
      <c r="G18" s="4">
        <f>C18*D18*E18*F18</f>
        <v/>
      </c>
    </row>
    <row r="19">
      <c r="A19" s="3" t="inlineStr">
        <is>
          <t>Jun-2025</t>
        </is>
      </c>
      <c r="B19" s="3" t="n">
        <v>2025</v>
      </c>
      <c r="C19" s="7">
        <f>Assumptions!B9*1.15</f>
        <v/>
      </c>
      <c r="D19" s="6">
        <f>Assumptions!B8*1.15</f>
        <v/>
      </c>
      <c r="E19" s="7">
        <f>Assumptions!B12</f>
        <v/>
      </c>
      <c r="F19" s="5" t="n">
        <v>1.15</v>
      </c>
      <c r="G19" s="4">
        <f>C19*D19*E19*F19</f>
        <v/>
      </c>
    </row>
    <row r="20">
      <c r="A20" s="3" t="inlineStr">
        <is>
          <t>Jul-2025</t>
        </is>
      </c>
      <c r="B20" s="3" t="n">
        <v>2025</v>
      </c>
      <c r="C20" s="7">
        <f>Assumptions!B9*1.15</f>
        <v/>
      </c>
      <c r="D20" s="6">
        <f>Assumptions!B8*1.15</f>
        <v/>
      </c>
      <c r="E20" s="7">
        <f>Assumptions!B12</f>
        <v/>
      </c>
      <c r="F20" s="5" t="n">
        <v>1.129903810567666</v>
      </c>
      <c r="G20" s="4">
        <f>C20*D20*E20*F20</f>
        <v/>
      </c>
    </row>
    <row r="21">
      <c r="A21" s="3" t="inlineStr">
        <is>
          <t>Aug-2025</t>
        </is>
      </c>
      <c r="B21" s="3" t="n">
        <v>2025</v>
      </c>
      <c r="C21" s="7">
        <f>Assumptions!B9*1.15</f>
        <v/>
      </c>
      <c r="D21" s="6">
        <f>Assumptions!B8*1.15</f>
        <v/>
      </c>
      <c r="E21" s="7">
        <f>Assumptions!B12</f>
        <v/>
      </c>
      <c r="F21" s="5" t="n">
        <v>1.075</v>
      </c>
      <c r="G21" s="4">
        <f>C21*D21*E21*F21</f>
        <v/>
      </c>
    </row>
    <row r="22">
      <c r="A22" s="3" t="inlineStr">
        <is>
          <t>Sep-2025</t>
        </is>
      </c>
      <c r="B22" s="3" t="n">
        <v>2025</v>
      </c>
      <c r="C22" s="7">
        <f>Assumptions!B9*1.15</f>
        <v/>
      </c>
      <c r="D22" s="6">
        <f>Assumptions!B8*1.15</f>
        <v/>
      </c>
      <c r="E22" s="7">
        <f>Assumptions!B12</f>
        <v/>
      </c>
      <c r="F22" s="5" t="n">
        <v>1</v>
      </c>
      <c r="G22" s="4">
        <f>C22*D22*E22*F22</f>
        <v/>
      </c>
    </row>
    <row r="23">
      <c r="A23" s="3" t="inlineStr">
        <is>
          <t>Oct-2025</t>
        </is>
      </c>
      <c r="B23" s="3" t="n">
        <v>2025</v>
      </c>
      <c r="C23" s="7">
        <f>Assumptions!B9*1.15</f>
        <v/>
      </c>
      <c r="D23" s="6">
        <f>Assumptions!B8*1.15</f>
        <v/>
      </c>
      <c r="E23" s="7">
        <f>Assumptions!B12</f>
        <v/>
      </c>
      <c r="F23" s="5" t="n">
        <v>0.925</v>
      </c>
      <c r="G23" s="4">
        <f>C23*D23*E23*F23</f>
        <v/>
      </c>
    </row>
    <row r="24">
      <c r="A24" s="3" t="inlineStr">
        <is>
          <t>Nov-2025</t>
        </is>
      </c>
      <c r="B24" s="3" t="n">
        <v>2025</v>
      </c>
      <c r="C24" s="7">
        <f>Assumptions!B9*1.15</f>
        <v/>
      </c>
      <c r="D24" s="6">
        <f>Assumptions!B8*1.15</f>
        <v/>
      </c>
      <c r="E24" s="7">
        <f>Assumptions!B12</f>
        <v/>
      </c>
      <c r="F24" s="5" t="n">
        <v>0.8700961894323342</v>
      </c>
      <c r="G24" s="4">
        <f>C24*D24*E24*F24</f>
        <v/>
      </c>
    </row>
    <row r="25">
      <c r="A25" s="3" t="inlineStr">
        <is>
          <t>Dec-2025</t>
        </is>
      </c>
      <c r="B25" s="3" t="n">
        <v>2025</v>
      </c>
      <c r="C25" s="7">
        <f>Assumptions!B9*1.15</f>
        <v/>
      </c>
      <c r="D25" s="6">
        <f>Assumptions!B8*1.15</f>
        <v/>
      </c>
      <c r="E25" s="7">
        <f>Assumptions!B12</f>
        <v/>
      </c>
      <c r="F25" s="5" t="n">
        <v>0.85</v>
      </c>
      <c r="G25" s="4">
        <f>C25*D25*E25*F25</f>
        <v/>
      </c>
    </row>
    <row r="26">
      <c r="A26" s="3" t="inlineStr">
        <is>
          <t>Jan-2026</t>
        </is>
      </c>
      <c r="B26" s="3" t="n">
        <v>2026</v>
      </c>
      <c r="C26" s="7">
        <f>Assumptions!B9*1.265</f>
        <v/>
      </c>
      <c r="D26" s="6">
        <f>Assumptions!B8*1.265</f>
        <v/>
      </c>
      <c r="E26" s="7">
        <f>Assumptions!B12</f>
        <v/>
      </c>
      <c r="F26" s="5" t="n">
        <v>0.8700961894323342</v>
      </c>
      <c r="G26" s="4">
        <f>C26*D26*E26*F26</f>
        <v/>
      </c>
    </row>
    <row r="27">
      <c r="A27" s="3" t="inlineStr">
        <is>
          <t>Feb-2026</t>
        </is>
      </c>
      <c r="B27" s="3" t="n">
        <v>2026</v>
      </c>
      <c r="C27" s="7">
        <f>Assumptions!B9*1.265</f>
        <v/>
      </c>
      <c r="D27" s="6">
        <f>Assumptions!B8*1.265</f>
        <v/>
      </c>
      <c r="E27" s="7">
        <f>Assumptions!B12</f>
        <v/>
      </c>
      <c r="F27" s="5" t="n">
        <v>0.925</v>
      </c>
      <c r="G27" s="4">
        <f>C27*D27*E27*F27</f>
        <v/>
      </c>
    </row>
    <row r="28">
      <c r="A28" s="3" t="inlineStr">
        <is>
          <t>Mar-2026</t>
        </is>
      </c>
      <c r="B28" s="3" t="n">
        <v>2026</v>
      </c>
      <c r="C28" s="7">
        <f>Assumptions!B9*1.265</f>
        <v/>
      </c>
      <c r="D28" s="6">
        <f>Assumptions!B8*1.265</f>
        <v/>
      </c>
      <c r="E28" s="7">
        <f>Assumptions!B12</f>
        <v/>
      </c>
      <c r="F28" s="5" t="n">
        <v>1</v>
      </c>
      <c r="G28" s="4">
        <f>C28*D28*E28*F28</f>
        <v/>
      </c>
    </row>
    <row r="29">
      <c r="A29" s="3" t="inlineStr">
        <is>
          <t>Apr-2026</t>
        </is>
      </c>
      <c r="B29" s="3" t="n">
        <v>2026</v>
      </c>
      <c r="C29" s="7">
        <f>Assumptions!B9*1.265</f>
        <v/>
      </c>
      <c r="D29" s="6">
        <f>Assumptions!B8*1.265</f>
        <v/>
      </c>
      <c r="E29" s="7">
        <f>Assumptions!B12</f>
        <v/>
      </c>
      <c r="F29" s="5" t="n">
        <v>1.075</v>
      </c>
      <c r="G29" s="4">
        <f>C29*D29*E29*F29</f>
        <v/>
      </c>
    </row>
    <row r="30">
      <c r="A30" s="3" t="inlineStr">
        <is>
          <t>May-2026</t>
        </is>
      </c>
      <c r="B30" s="3" t="n">
        <v>2026</v>
      </c>
      <c r="C30" s="7">
        <f>Assumptions!B9*1.265</f>
        <v/>
      </c>
      <c r="D30" s="6">
        <f>Assumptions!B8*1.265</f>
        <v/>
      </c>
      <c r="E30" s="7">
        <f>Assumptions!B12</f>
        <v/>
      </c>
      <c r="F30" s="5" t="n">
        <v>1.129903810567666</v>
      </c>
      <c r="G30" s="4">
        <f>C30*D30*E30*F30</f>
        <v/>
      </c>
    </row>
    <row r="31">
      <c r="A31" s="3" t="inlineStr">
        <is>
          <t>Jun-2026</t>
        </is>
      </c>
      <c r="B31" s="3" t="n">
        <v>2026</v>
      </c>
      <c r="C31" s="7">
        <f>Assumptions!B9*1.265</f>
        <v/>
      </c>
      <c r="D31" s="6">
        <f>Assumptions!B8*1.265</f>
        <v/>
      </c>
      <c r="E31" s="7">
        <f>Assumptions!B12</f>
        <v/>
      </c>
      <c r="F31" s="5" t="n">
        <v>1.15</v>
      </c>
      <c r="G31" s="4">
        <f>C31*D31*E31*F31</f>
        <v/>
      </c>
    </row>
    <row r="32">
      <c r="A32" s="3" t="inlineStr">
        <is>
          <t>Jul-2026</t>
        </is>
      </c>
      <c r="B32" s="3" t="n">
        <v>2026</v>
      </c>
      <c r="C32" s="7">
        <f>Assumptions!B9*1.265</f>
        <v/>
      </c>
      <c r="D32" s="6">
        <f>Assumptions!B8*1.265</f>
        <v/>
      </c>
      <c r="E32" s="7">
        <f>Assumptions!B12</f>
        <v/>
      </c>
      <c r="F32" s="5" t="n">
        <v>1.129903810567666</v>
      </c>
      <c r="G32" s="4">
        <f>C32*D32*E32*F32</f>
        <v/>
      </c>
    </row>
    <row r="33">
      <c r="A33" s="3" t="inlineStr">
        <is>
          <t>Aug-2026</t>
        </is>
      </c>
      <c r="B33" s="3" t="n">
        <v>2026</v>
      </c>
      <c r="C33" s="7">
        <f>Assumptions!B9*1.265</f>
        <v/>
      </c>
      <c r="D33" s="6">
        <f>Assumptions!B8*1.265</f>
        <v/>
      </c>
      <c r="E33" s="7">
        <f>Assumptions!B12</f>
        <v/>
      </c>
      <c r="F33" s="5" t="n">
        <v>1.075</v>
      </c>
      <c r="G33" s="4">
        <f>C33*D33*E33*F33</f>
        <v/>
      </c>
    </row>
    <row r="34">
      <c r="A34" s="3" t="inlineStr">
        <is>
          <t>Sep-2026</t>
        </is>
      </c>
      <c r="B34" s="3" t="n">
        <v>2026</v>
      </c>
      <c r="C34" s="7">
        <f>Assumptions!B9*1.265</f>
        <v/>
      </c>
      <c r="D34" s="6">
        <f>Assumptions!B8*1.265</f>
        <v/>
      </c>
      <c r="E34" s="7">
        <f>Assumptions!B12</f>
        <v/>
      </c>
      <c r="F34" s="5" t="n">
        <v>1</v>
      </c>
      <c r="G34" s="4">
        <f>C34*D34*E34*F34</f>
        <v/>
      </c>
    </row>
    <row r="35">
      <c r="A35" s="3" t="inlineStr">
        <is>
          <t>Oct-2026</t>
        </is>
      </c>
      <c r="B35" s="3" t="n">
        <v>2026</v>
      </c>
      <c r="C35" s="7">
        <f>Assumptions!B9*1.265</f>
        <v/>
      </c>
      <c r="D35" s="6">
        <f>Assumptions!B8*1.265</f>
        <v/>
      </c>
      <c r="E35" s="7">
        <f>Assumptions!B12</f>
        <v/>
      </c>
      <c r="F35" s="5" t="n">
        <v>0.925</v>
      </c>
      <c r="G35" s="4">
        <f>C35*D35*E35*F35</f>
        <v/>
      </c>
    </row>
    <row r="36">
      <c r="A36" s="3" t="inlineStr">
        <is>
          <t>Nov-2026</t>
        </is>
      </c>
      <c r="B36" s="3" t="n">
        <v>2026</v>
      </c>
      <c r="C36" s="7">
        <f>Assumptions!B9*1.265</f>
        <v/>
      </c>
      <c r="D36" s="6">
        <f>Assumptions!B8*1.265</f>
        <v/>
      </c>
      <c r="E36" s="7">
        <f>Assumptions!B12</f>
        <v/>
      </c>
      <c r="F36" s="5" t="n">
        <v>0.8700961894323342</v>
      </c>
      <c r="G36" s="4">
        <f>C36*D36*E36*F36</f>
        <v/>
      </c>
    </row>
    <row r="37">
      <c r="A37" s="3" t="inlineStr">
        <is>
          <t>Dec-2026</t>
        </is>
      </c>
      <c r="B37" s="3" t="n">
        <v>2026</v>
      </c>
      <c r="C37" s="7">
        <f>Assumptions!B9*1.265</f>
        <v/>
      </c>
      <c r="D37" s="6">
        <f>Assumptions!B8*1.265</f>
        <v/>
      </c>
      <c r="E37" s="7">
        <f>Assumptions!B12</f>
        <v/>
      </c>
      <c r="F37" s="5" t="n">
        <v>0.85</v>
      </c>
      <c r="G37" s="4">
        <f>C37*D37*E37*F37</f>
        <v/>
      </c>
    </row>
    <row r="38">
      <c r="A38" s="3" t="inlineStr">
        <is>
          <t>Jan-2027</t>
        </is>
      </c>
      <c r="B38" s="3" t="n">
        <v>2027</v>
      </c>
      <c r="C38" s="7">
        <f>Assumptions!B9*1.32825</f>
        <v/>
      </c>
      <c r="D38" s="6">
        <f>Assumptions!B8*1.32825</f>
        <v/>
      </c>
      <c r="E38" s="7">
        <f>Assumptions!B12</f>
        <v/>
      </c>
      <c r="F38" s="5" t="n">
        <v>0.8700961894323342</v>
      </c>
      <c r="G38" s="4">
        <f>C38*D38*E38*F38</f>
        <v/>
      </c>
    </row>
    <row r="39">
      <c r="A39" s="3" t="inlineStr">
        <is>
          <t>Feb-2027</t>
        </is>
      </c>
      <c r="B39" s="3" t="n">
        <v>2027</v>
      </c>
      <c r="C39" s="7">
        <f>Assumptions!B9*1.32825</f>
        <v/>
      </c>
      <c r="D39" s="6">
        <f>Assumptions!B8*1.32825</f>
        <v/>
      </c>
      <c r="E39" s="7">
        <f>Assumptions!B12</f>
        <v/>
      </c>
      <c r="F39" s="5" t="n">
        <v>0.925</v>
      </c>
      <c r="G39" s="4">
        <f>C39*D39*E39*F39</f>
        <v/>
      </c>
    </row>
    <row r="40">
      <c r="A40" s="3" t="inlineStr">
        <is>
          <t>Mar-2027</t>
        </is>
      </c>
      <c r="B40" s="3" t="n">
        <v>2027</v>
      </c>
      <c r="C40" s="7">
        <f>Assumptions!B9*1.32825</f>
        <v/>
      </c>
      <c r="D40" s="6">
        <f>Assumptions!B8*1.32825</f>
        <v/>
      </c>
      <c r="E40" s="7">
        <f>Assumptions!B12</f>
        <v/>
      </c>
      <c r="F40" s="5" t="n">
        <v>1</v>
      </c>
      <c r="G40" s="4">
        <f>C40*D40*E40*F40</f>
        <v/>
      </c>
    </row>
    <row r="41">
      <c r="A41" s="3" t="inlineStr">
        <is>
          <t>Apr-2027</t>
        </is>
      </c>
      <c r="B41" s="3" t="n">
        <v>2027</v>
      </c>
      <c r="C41" s="7">
        <f>Assumptions!B9*1.32825</f>
        <v/>
      </c>
      <c r="D41" s="6">
        <f>Assumptions!B8*1.32825</f>
        <v/>
      </c>
      <c r="E41" s="7">
        <f>Assumptions!B12</f>
        <v/>
      </c>
      <c r="F41" s="5" t="n">
        <v>1.075</v>
      </c>
      <c r="G41" s="4">
        <f>C41*D41*E41*F41</f>
        <v/>
      </c>
    </row>
    <row r="42">
      <c r="A42" s="3" t="inlineStr">
        <is>
          <t>May-2027</t>
        </is>
      </c>
      <c r="B42" s="3" t="n">
        <v>2027</v>
      </c>
      <c r="C42" s="7">
        <f>Assumptions!B9*1.32825</f>
        <v/>
      </c>
      <c r="D42" s="6">
        <f>Assumptions!B8*1.32825</f>
        <v/>
      </c>
      <c r="E42" s="7">
        <f>Assumptions!B12</f>
        <v/>
      </c>
      <c r="F42" s="5" t="n">
        <v>1.129903810567666</v>
      </c>
      <c r="G42" s="4">
        <f>C42*D42*E42*F42</f>
        <v/>
      </c>
    </row>
    <row r="43">
      <c r="A43" s="3" t="inlineStr">
        <is>
          <t>Jun-2027</t>
        </is>
      </c>
      <c r="B43" s="3" t="n">
        <v>2027</v>
      </c>
      <c r="C43" s="7">
        <f>Assumptions!B9*1.32825</f>
        <v/>
      </c>
      <c r="D43" s="6">
        <f>Assumptions!B8*1.32825</f>
        <v/>
      </c>
      <c r="E43" s="7">
        <f>Assumptions!B12</f>
        <v/>
      </c>
      <c r="F43" s="5" t="n">
        <v>1.15</v>
      </c>
      <c r="G43" s="4">
        <f>C43*D43*E43*F43</f>
        <v/>
      </c>
    </row>
    <row r="44">
      <c r="A44" s="3" t="inlineStr">
        <is>
          <t>Jul-2027</t>
        </is>
      </c>
      <c r="B44" s="3" t="n">
        <v>2027</v>
      </c>
      <c r="C44" s="7">
        <f>Assumptions!B9*1.32825</f>
        <v/>
      </c>
      <c r="D44" s="6">
        <f>Assumptions!B8*1.32825</f>
        <v/>
      </c>
      <c r="E44" s="7">
        <f>Assumptions!B12</f>
        <v/>
      </c>
      <c r="F44" s="5" t="n">
        <v>1.129903810567666</v>
      </c>
      <c r="G44" s="4">
        <f>C44*D44*E44*F44</f>
        <v/>
      </c>
    </row>
    <row r="45">
      <c r="A45" s="3" t="inlineStr">
        <is>
          <t>Aug-2027</t>
        </is>
      </c>
      <c r="B45" s="3" t="n">
        <v>2027</v>
      </c>
      <c r="C45" s="7">
        <f>Assumptions!B9*1.32825</f>
        <v/>
      </c>
      <c r="D45" s="6">
        <f>Assumptions!B8*1.32825</f>
        <v/>
      </c>
      <c r="E45" s="7">
        <f>Assumptions!B12</f>
        <v/>
      </c>
      <c r="F45" s="5" t="n">
        <v>1.075</v>
      </c>
      <c r="G45" s="4">
        <f>C45*D45*E45*F45</f>
        <v/>
      </c>
    </row>
    <row r="46">
      <c r="A46" s="3" t="inlineStr">
        <is>
          <t>Sep-2027</t>
        </is>
      </c>
      <c r="B46" s="3" t="n">
        <v>2027</v>
      </c>
      <c r="C46" s="7">
        <f>Assumptions!B9*1.32825</f>
        <v/>
      </c>
      <c r="D46" s="6">
        <f>Assumptions!B8*1.32825</f>
        <v/>
      </c>
      <c r="E46" s="7">
        <f>Assumptions!B12</f>
        <v/>
      </c>
      <c r="F46" s="5" t="n">
        <v>1</v>
      </c>
      <c r="G46" s="4">
        <f>C46*D46*E46*F46</f>
        <v/>
      </c>
    </row>
    <row r="47">
      <c r="A47" s="3" t="inlineStr">
        <is>
          <t>Oct-2027</t>
        </is>
      </c>
      <c r="B47" s="3" t="n">
        <v>2027</v>
      </c>
      <c r="C47" s="7">
        <f>Assumptions!B9*1.32825</f>
        <v/>
      </c>
      <c r="D47" s="6">
        <f>Assumptions!B8*1.32825</f>
        <v/>
      </c>
      <c r="E47" s="7">
        <f>Assumptions!B12</f>
        <v/>
      </c>
      <c r="F47" s="5" t="n">
        <v>0.925</v>
      </c>
      <c r="G47" s="4">
        <f>C47*D47*E47*F47</f>
        <v/>
      </c>
    </row>
    <row r="48">
      <c r="A48" s="3" t="inlineStr">
        <is>
          <t>Nov-2027</t>
        </is>
      </c>
      <c r="B48" s="3" t="n">
        <v>2027</v>
      </c>
      <c r="C48" s="7">
        <f>Assumptions!B9*1.32825</f>
        <v/>
      </c>
      <c r="D48" s="6">
        <f>Assumptions!B8*1.32825</f>
        <v/>
      </c>
      <c r="E48" s="7">
        <f>Assumptions!B12</f>
        <v/>
      </c>
      <c r="F48" s="5" t="n">
        <v>0.8700961894323342</v>
      </c>
      <c r="G48" s="4">
        <f>C48*D48*E48*F48</f>
        <v/>
      </c>
    </row>
    <row r="49">
      <c r="A49" s="3" t="inlineStr">
        <is>
          <t>Dec-2027</t>
        </is>
      </c>
      <c r="B49" s="3" t="n">
        <v>2027</v>
      </c>
      <c r="C49" s="7">
        <f>Assumptions!B9*1.32825</f>
        <v/>
      </c>
      <c r="D49" s="6">
        <f>Assumptions!B8*1.32825</f>
        <v/>
      </c>
      <c r="E49" s="7">
        <f>Assumptions!B12</f>
        <v/>
      </c>
      <c r="F49" s="5" t="n">
        <v>0.85</v>
      </c>
      <c r="G49" s="4">
        <f>C49*D49*E49*F49</f>
        <v/>
      </c>
    </row>
    <row r="50">
      <c r="A50" s="3" t="inlineStr">
        <is>
          <t>Jan-2028</t>
        </is>
      </c>
      <c r="B50" s="3" t="n">
        <v>2028</v>
      </c>
      <c r="C50" s="7">
        <f>Assumptions!B9*1.3946625</f>
        <v/>
      </c>
      <c r="D50" s="6">
        <f>Assumptions!B8*1.3946625</f>
        <v/>
      </c>
      <c r="E50" s="7">
        <f>Assumptions!B12</f>
        <v/>
      </c>
      <c r="F50" s="5" t="n">
        <v>0.8700961894323342</v>
      </c>
      <c r="G50" s="4">
        <f>C50*D50*E50*F50</f>
        <v/>
      </c>
    </row>
    <row r="51">
      <c r="A51" s="3" t="inlineStr">
        <is>
          <t>Feb-2028</t>
        </is>
      </c>
      <c r="B51" s="3" t="n">
        <v>2028</v>
      </c>
      <c r="C51" s="7">
        <f>Assumptions!B9*1.3946625</f>
        <v/>
      </c>
      <c r="D51" s="6">
        <f>Assumptions!B8*1.3946625</f>
        <v/>
      </c>
      <c r="E51" s="7">
        <f>Assumptions!B12</f>
        <v/>
      </c>
      <c r="F51" s="5" t="n">
        <v>0.925</v>
      </c>
      <c r="G51" s="4">
        <f>C51*D51*E51*F51</f>
        <v/>
      </c>
    </row>
    <row r="52">
      <c r="A52" s="3" t="inlineStr">
        <is>
          <t>Mar-2028</t>
        </is>
      </c>
      <c r="B52" s="3" t="n">
        <v>2028</v>
      </c>
      <c r="C52" s="7">
        <f>Assumptions!B9*1.3946625</f>
        <v/>
      </c>
      <c r="D52" s="6">
        <f>Assumptions!B8*1.3946625</f>
        <v/>
      </c>
      <c r="E52" s="7">
        <f>Assumptions!B12</f>
        <v/>
      </c>
      <c r="F52" s="5" t="n">
        <v>1</v>
      </c>
      <c r="G52" s="4">
        <f>C52*D52*E52*F52</f>
        <v/>
      </c>
    </row>
    <row r="53">
      <c r="A53" s="3" t="inlineStr">
        <is>
          <t>Apr-2028</t>
        </is>
      </c>
      <c r="B53" s="3" t="n">
        <v>2028</v>
      </c>
      <c r="C53" s="7">
        <f>Assumptions!B9*1.3946625</f>
        <v/>
      </c>
      <c r="D53" s="6">
        <f>Assumptions!B8*1.3946625</f>
        <v/>
      </c>
      <c r="E53" s="7">
        <f>Assumptions!B12</f>
        <v/>
      </c>
      <c r="F53" s="5" t="n">
        <v>1.075</v>
      </c>
      <c r="G53" s="4">
        <f>C53*D53*E53*F53</f>
        <v/>
      </c>
    </row>
    <row r="54">
      <c r="A54" s="3" t="inlineStr">
        <is>
          <t>May-2028</t>
        </is>
      </c>
      <c r="B54" s="3" t="n">
        <v>2028</v>
      </c>
      <c r="C54" s="7">
        <f>Assumptions!B9*1.3946625</f>
        <v/>
      </c>
      <c r="D54" s="6">
        <f>Assumptions!B8*1.3946625</f>
        <v/>
      </c>
      <c r="E54" s="7">
        <f>Assumptions!B12</f>
        <v/>
      </c>
      <c r="F54" s="5" t="n">
        <v>1.129903810567666</v>
      </c>
      <c r="G54" s="4">
        <f>C54*D54*E54*F54</f>
        <v/>
      </c>
    </row>
    <row r="55">
      <c r="A55" s="3" t="inlineStr">
        <is>
          <t>Jun-2028</t>
        </is>
      </c>
      <c r="B55" s="3" t="n">
        <v>2028</v>
      </c>
      <c r="C55" s="7">
        <f>Assumptions!B9*1.3946625</f>
        <v/>
      </c>
      <c r="D55" s="6">
        <f>Assumptions!B8*1.3946625</f>
        <v/>
      </c>
      <c r="E55" s="7">
        <f>Assumptions!B12</f>
        <v/>
      </c>
      <c r="F55" s="5" t="n">
        <v>1.15</v>
      </c>
      <c r="G55" s="4">
        <f>C55*D55*E55*F55</f>
        <v/>
      </c>
    </row>
    <row r="56">
      <c r="A56" s="3" t="inlineStr">
        <is>
          <t>Jul-2028</t>
        </is>
      </c>
      <c r="B56" s="3" t="n">
        <v>2028</v>
      </c>
      <c r="C56" s="7">
        <f>Assumptions!B9*1.3946625</f>
        <v/>
      </c>
      <c r="D56" s="6">
        <f>Assumptions!B8*1.3946625</f>
        <v/>
      </c>
      <c r="E56" s="7">
        <f>Assumptions!B12</f>
        <v/>
      </c>
      <c r="F56" s="5" t="n">
        <v>1.129903810567666</v>
      </c>
      <c r="G56" s="4">
        <f>C56*D56*E56*F56</f>
        <v/>
      </c>
    </row>
    <row r="57">
      <c r="A57" s="3" t="inlineStr">
        <is>
          <t>Aug-2028</t>
        </is>
      </c>
      <c r="B57" s="3" t="n">
        <v>2028</v>
      </c>
      <c r="C57" s="7">
        <f>Assumptions!B9*1.3946625</f>
        <v/>
      </c>
      <c r="D57" s="6">
        <f>Assumptions!B8*1.3946625</f>
        <v/>
      </c>
      <c r="E57" s="7">
        <f>Assumptions!B12</f>
        <v/>
      </c>
      <c r="F57" s="5" t="n">
        <v>1.075</v>
      </c>
      <c r="G57" s="4">
        <f>C57*D57*E57*F57</f>
        <v/>
      </c>
    </row>
    <row r="58">
      <c r="A58" s="3" t="inlineStr">
        <is>
          <t>Sep-2028</t>
        </is>
      </c>
      <c r="B58" s="3" t="n">
        <v>2028</v>
      </c>
      <c r="C58" s="7">
        <f>Assumptions!B9*1.3946625</f>
        <v/>
      </c>
      <c r="D58" s="6">
        <f>Assumptions!B8*1.3946625</f>
        <v/>
      </c>
      <c r="E58" s="7">
        <f>Assumptions!B12</f>
        <v/>
      </c>
      <c r="F58" s="5" t="n">
        <v>1</v>
      </c>
      <c r="G58" s="4">
        <f>C58*D58*E58*F58</f>
        <v/>
      </c>
    </row>
    <row r="59">
      <c r="A59" s="3" t="inlineStr">
        <is>
          <t>Oct-2028</t>
        </is>
      </c>
      <c r="B59" s="3" t="n">
        <v>2028</v>
      </c>
      <c r="C59" s="7">
        <f>Assumptions!B9*1.3946625</f>
        <v/>
      </c>
      <c r="D59" s="6">
        <f>Assumptions!B8*1.3946625</f>
        <v/>
      </c>
      <c r="E59" s="7">
        <f>Assumptions!B12</f>
        <v/>
      </c>
      <c r="F59" s="5" t="n">
        <v>0.925</v>
      </c>
      <c r="G59" s="4">
        <f>C59*D59*E59*F59</f>
        <v/>
      </c>
    </row>
    <row r="60">
      <c r="A60" s="3" t="inlineStr">
        <is>
          <t>Nov-2028</t>
        </is>
      </c>
      <c r="B60" s="3" t="n">
        <v>2028</v>
      </c>
      <c r="C60" s="7">
        <f>Assumptions!B9*1.3946625</f>
        <v/>
      </c>
      <c r="D60" s="6">
        <f>Assumptions!B8*1.3946625</f>
        <v/>
      </c>
      <c r="E60" s="7">
        <f>Assumptions!B12</f>
        <v/>
      </c>
      <c r="F60" s="5" t="n">
        <v>0.8700961894323342</v>
      </c>
      <c r="G60" s="4">
        <f>C60*D60*E60*F60</f>
        <v/>
      </c>
    </row>
    <row r="61">
      <c r="A61" s="3" t="inlineStr">
        <is>
          <t>Dec-2028</t>
        </is>
      </c>
      <c r="B61" s="3" t="n">
        <v>2028</v>
      </c>
      <c r="C61" s="7">
        <f>Assumptions!B9*1.3946625</f>
        <v/>
      </c>
      <c r="D61" s="6">
        <f>Assumptions!B8*1.3946625</f>
        <v/>
      </c>
      <c r="E61" s="7">
        <f>Assumptions!B12</f>
        <v/>
      </c>
      <c r="F61" s="5" t="n">
        <v>0.85</v>
      </c>
      <c r="G61" s="4">
        <f>C61*D61*E61*F61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20" customWidth="1" min="8" max="8"/>
    <col width="22" customWidth="1" min="9" max="9"/>
    <col width="16" customWidth="1" min="10" max="10"/>
    <col width="41" customWidth="1" min="11" max="11"/>
    <col width="16" customWidth="1" min="12" max="12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Food Cost</t>
        </is>
      </c>
      <c r="D1" s="2" t="inlineStr">
        <is>
          <t>Labor Cost</t>
        </is>
      </c>
      <c r="E1" s="2" t="inlineStr">
        <is>
          <t>Utenze</t>
        </is>
      </c>
      <c r="F1" s="2" t="inlineStr">
        <is>
          <t>Marketing</t>
        </is>
      </c>
      <c r="G1" s="2" t="inlineStr">
        <is>
          <t>Affitto</t>
        </is>
      </c>
      <c r="H1" s="2" t="inlineStr">
        <is>
          <t>EBITDA</t>
        </is>
      </c>
      <c r="I1" s="2" t="inlineStr">
        <is>
          <t>Ammortamenti</t>
        </is>
      </c>
      <c r="J1" s="2" t="inlineStr">
        <is>
          <t>EBIT</t>
        </is>
      </c>
      <c r="K1" s="2" t="inlineStr">
        <is>
          <t>Taxes</t>
        </is>
      </c>
      <c r="L1" s="2" t="inlineStr">
        <is>
          <t>Net Income</t>
        </is>
      </c>
    </row>
    <row r="2">
      <c r="A2" s="3">
        <f>Revenue!A2</f>
        <v/>
      </c>
      <c r="B2" s="4">
        <f>Revenue!G2</f>
        <v/>
      </c>
      <c r="C2" s="4">
        <f>B2*Assumptions!B4</f>
        <v/>
      </c>
      <c r="D2" s="4">
        <f>B2*Assumptions!B5</f>
        <v/>
      </c>
      <c r="E2" s="4">
        <f>B2*Assumptions!B6</f>
        <v/>
      </c>
      <c r="F2" s="4">
        <f>B2*Assumptions!B7</f>
        <v/>
      </c>
      <c r="G2" s="4">
        <f>Assumptions!B3</f>
        <v/>
      </c>
      <c r="H2" s="4">
        <f>B2-SUM(C2:G2)</f>
        <v/>
      </c>
      <c r="I2" s="4">
        <f>Assumptions!B10/60</f>
        <v/>
      </c>
      <c r="J2" s="4">
        <f>H2-I2</f>
        <v/>
      </c>
      <c r="K2" s="4">
        <f>J2*(Assumptions!B15+Assumptions!B16)</f>
        <v/>
      </c>
      <c r="L2" s="4">
        <f>J2-K2</f>
        <v/>
      </c>
    </row>
    <row r="3">
      <c r="A3" s="3">
        <f>Revenue!A3</f>
        <v/>
      </c>
      <c r="B3" s="4">
        <f>Revenue!G3</f>
        <v/>
      </c>
      <c r="C3" s="4">
        <f>B3*Assumptions!B4</f>
        <v/>
      </c>
      <c r="D3" s="4">
        <f>B3*Assumptions!B5</f>
        <v/>
      </c>
      <c r="E3" s="4">
        <f>B3*Assumptions!B6</f>
        <v/>
      </c>
      <c r="F3" s="4">
        <f>B3*Assumptions!B7</f>
        <v/>
      </c>
      <c r="G3" s="4">
        <f>Assumptions!B3</f>
        <v/>
      </c>
      <c r="H3" s="4">
        <f>B3-SUM(C3:G3)</f>
        <v/>
      </c>
      <c r="I3" s="4">
        <f>Assumptions!B10/60</f>
        <v/>
      </c>
      <c r="J3" s="4">
        <f>H3-I3</f>
        <v/>
      </c>
      <c r="K3" s="4">
        <f>J3*(Assumptions!B15+Assumptions!B16)</f>
        <v/>
      </c>
      <c r="L3" s="4">
        <f>J3-K3</f>
        <v/>
      </c>
    </row>
    <row r="4">
      <c r="A4" s="3">
        <f>Revenue!A4</f>
        <v/>
      </c>
      <c r="B4" s="4">
        <f>Revenue!G4</f>
        <v/>
      </c>
      <c r="C4" s="4">
        <f>B4*Assumptions!B4</f>
        <v/>
      </c>
      <c r="D4" s="4">
        <f>B4*Assumptions!B5</f>
        <v/>
      </c>
      <c r="E4" s="4">
        <f>B4*Assumptions!B6</f>
        <v/>
      </c>
      <c r="F4" s="4">
        <f>B4*Assumptions!B7</f>
        <v/>
      </c>
      <c r="G4" s="4">
        <f>Assumptions!B3</f>
        <v/>
      </c>
      <c r="H4" s="4">
        <f>B4-SUM(C4:G4)</f>
        <v/>
      </c>
      <c r="I4" s="4">
        <f>Assumptions!B10/60</f>
        <v/>
      </c>
      <c r="J4" s="4">
        <f>H4-I4</f>
        <v/>
      </c>
      <c r="K4" s="4">
        <f>J4*(Assumptions!B15+Assumptions!B16)</f>
        <v/>
      </c>
      <c r="L4" s="4">
        <f>J4-K4</f>
        <v/>
      </c>
    </row>
    <row r="5">
      <c r="A5" s="3">
        <f>Revenue!A5</f>
        <v/>
      </c>
      <c r="B5" s="4">
        <f>Revenue!G5</f>
        <v/>
      </c>
      <c r="C5" s="4">
        <f>B5*Assumptions!B4</f>
        <v/>
      </c>
      <c r="D5" s="4">
        <f>B5*Assumptions!B5</f>
        <v/>
      </c>
      <c r="E5" s="4">
        <f>B5*Assumptions!B6</f>
        <v/>
      </c>
      <c r="F5" s="4">
        <f>B5*Assumptions!B7</f>
        <v/>
      </c>
      <c r="G5" s="4">
        <f>Assumptions!B3</f>
        <v/>
      </c>
      <c r="H5" s="4">
        <f>B5-SUM(C5:G5)</f>
        <v/>
      </c>
      <c r="I5" s="4">
        <f>Assumptions!B10/60</f>
        <v/>
      </c>
      <c r="J5" s="4">
        <f>H5-I5</f>
        <v/>
      </c>
      <c r="K5" s="4">
        <f>J5*(Assumptions!B15+Assumptions!B16)</f>
        <v/>
      </c>
      <c r="L5" s="4">
        <f>J5-K5</f>
        <v/>
      </c>
    </row>
    <row r="6">
      <c r="A6" s="3">
        <f>Revenue!A6</f>
        <v/>
      </c>
      <c r="B6" s="4">
        <f>Revenue!G6</f>
        <v/>
      </c>
      <c r="C6" s="4">
        <f>B6*Assumptions!B4</f>
        <v/>
      </c>
      <c r="D6" s="4">
        <f>B6*Assumptions!B5</f>
        <v/>
      </c>
      <c r="E6" s="4">
        <f>B6*Assumptions!B6</f>
        <v/>
      </c>
      <c r="F6" s="4">
        <f>B6*Assumptions!B7</f>
        <v/>
      </c>
      <c r="G6" s="4">
        <f>Assumptions!B3</f>
        <v/>
      </c>
      <c r="H6" s="4">
        <f>B6-SUM(C6:G6)</f>
        <v/>
      </c>
      <c r="I6" s="4">
        <f>Assumptions!B10/60</f>
        <v/>
      </c>
      <c r="J6" s="4">
        <f>H6-I6</f>
        <v/>
      </c>
      <c r="K6" s="4">
        <f>J6*(Assumptions!B15+Assumptions!B16)</f>
        <v/>
      </c>
      <c r="L6" s="4">
        <f>J6-K6</f>
        <v/>
      </c>
    </row>
    <row r="7">
      <c r="A7" s="3">
        <f>Revenue!A7</f>
        <v/>
      </c>
      <c r="B7" s="4">
        <f>Revenue!G7</f>
        <v/>
      </c>
      <c r="C7" s="4">
        <f>B7*Assumptions!B4</f>
        <v/>
      </c>
      <c r="D7" s="4">
        <f>B7*Assumptions!B5</f>
        <v/>
      </c>
      <c r="E7" s="4">
        <f>B7*Assumptions!B6</f>
        <v/>
      </c>
      <c r="F7" s="4">
        <f>B7*Assumptions!B7</f>
        <v/>
      </c>
      <c r="G7" s="4">
        <f>Assumptions!B3</f>
        <v/>
      </c>
      <c r="H7" s="4">
        <f>B7-SUM(C7:G7)</f>
        <v/>
      </c>
      <c r="I7" s="4">
        <f>Assumptions!B10/60</f>
        <v/>
      </c>
      <c r="J7" s="4">
        <f>H7-I7</f>
        <v/>
      </c>
      <c r="K7" s="4">
        <f>J7*(Assumptions!B15+Assumptions!B16)</f>
        <v/>
      </c>
      <c r="L7" s="4">
        <f>J7-K7</f>
        <v/>
      </c>
    </row>
    <row r="8">
      <c r="A8" s="3">
        <f>Revenue!A8</f>
        <v/>
      </c>
      <c r="B8" s="4">
        <f>Revenue!G8</f>
        <v/>
      </c>
      <c r="C8" s="4">
        <f>B8*Assumptions!B4</f>
        <v/>
      </c>
      <c r="D8" s="4">
        <f>B8*Assumptions!B5</f>
        <v/>
      </c>
      <c r="E8" s="4">
        <f>B8*Assumptions!B6</f>
        <v/>
      </c>
      <c r="F8" s="4">
        <f>B8*Assumptions!B7</f>
        <v/>
      </c>
      <c r="G8" s="4">
        <f>Assumptions!B3</f>
        <v/>
      </c>
      <c r="H8" s="4">
        <f>B8-SUM(C8:G8)</f>
        <v/>
      </c>
      <c r="I8" s="4">
        <f>Assumptions!B10/60</f>
        <v/>
      </c>
      <c r="J8" s="4">
        <f>H8-I8</f>
        <v/>
      </c>
      <c r="K8" s="4">
        <f>J8*(Assumptions!B15+Assumptions!B16)</f>
        <v/>
      </c>
      <c r="L8" s="4">
        <f>J8-K8</f>
        <v/>
      </c>
    </row>
    <row r="9">
      <c r="A9" s="3">
        <f>Revenue!A9</f>
        <v/>
      </c>
      <c r="B9" s="4">
        <f>Revenue!G9</f>
        <v/>
      </c>
      <c r="C9" s="4">
        <f>B9*Assumptions!B4</f>
        <v/>
      </c>
      <c r="D9" s="4">
        <f>B9*Assumptions!B5</f>
        <v/>
      </c>
      <c r="E9" s="4">
        <f>B9*Assumptions!B6</f>
        <v/>
      </c>
      <c r="F9" s="4">
        <f>B9*Assumptions!B7</f>
        <v/>
      </c>
      <c r="G9" s="4">
        <f>Assumptions!B3</f>
        <v/>
      </c>
      <c r="H9" s="4">
        <f>B9-SUM(C9:G9)</f>
        <v/>
      </c>
      <c r="I9" s="4">
        <f>Assumptions!B10/60</f>
        <v/>
      </c>
      <c r="J9" s="4">
        <f>H9-I9</f>
        <v/>
      </c>
      <c r="K9" s="4">
        <f>J9*(Assumptions!B15+Assumptions!B16)</f>
        <v/>
      </c>
      <c r="L9" s="4">
        <f>J9-K9</f>
        <v/>
      </c>
    </row>
    <row r="10">
      <c r="A10" s="3">
        <f>Revenue!A10</f>
        <v/>
      </c>
      <c r="B10" s="4">
        <f>Revenue!G10</f>
        <v/>
      </c>
      <c r="C10" s="4">
        <f>B10*Assumptions!B4</f>
        <v/>
      </c>
      <c r="D10" s="4">
        <f>B10*Assumptions!B5</f>
        <v/>
      </c>
      <c r="E10" s="4">
        <f>B10*Assumptions!B6</f>
        <v/>
      </c>
      <c r="F10" s="4">
        <f>B10*Assumptions!B7</f>
        <v/>
      </c>
      <c r="G10" s="4">
        <f>Assumptions!B3</f>
        <v/>
      </c>
      <c r="H10" s="4">
        <f>B10-SUM(C10:G10)</f>
        <v/>
      </c>
      <c r="I10" s="4">
        <f>Assumptions!B10/60</f>
        <v/>
      </c>
      <c r="J10" s="4">
        <f>H10-I10</f>
        <v/>
      </c>
      <c r="K10" s="4">
        <f>J10*(Assumptions!B15+Assumptions!B16)</f>
        <v/>
      </c>
      <c r="L10" s="4">
        <f>J10-K10</f>
        <v/>
      </c>
    </row>
    <row r="11">
      <c r="A11" s="3">
        <f>Revenue!A11</f>
        <v/>
      </c>
      <c r="B11" s="4">
        <f>Revenue!G11</f>
        <v/>
      </c>
      <c r="C11" s="4">
        <f>B11*Assumptions!B4</f>
        <v/>
      </c>
      <c r="D11" s="4">
        <f>B11*Assumptions!B5</f>
        <v/>
      </c>
      <c r="E11" s="4">
        <f>B11*Assumptions!B6</f>
        <v/>
      </c>
      <c r="F11" s="4">
        <f>B11*Assumptions!B7</f>
        <v/>
      </c>
      <c r="G11" s="4">
        <f>Assumptions!B3</f>
        <v/>
      </c>
      <c r="H11" s="4">
        <f>B11-SUM(C11:G11)</f>
        <v/>
      </c>
      <c r="I11" s="4">
        <f>Assumptions!B10/60</f>
        <v/>
      </c>
      <c r="J11" s="4">
        <f>H11-I11</f>
        <v/>
      </c>
      <c r="K11" s="4">
        <f>J11*(Assumptions!B15+Assumptions!B16)</f>
        <v/>
      </c>
      <c r="L11" s="4">
        <f>J11-K11</f>
        <v/>
      </c>
    </row>
    <row r="12">
      <c r="A12" s="3">
        <f>Revenue!A12</f>
        <v/>
      </c>
      <c r="B12" s="4">
        <f>Revenue!G12</f>
        <v/>
      </c>
      <c r="C12" s="4">
        <f>B12*Assumptions!B4</f>
        <v/>
      </c>
      <c r="D12" s="4">
        <f>B12*Assumptions!B5</f>
        <v/>
      </c>
      <c r="E12" s="4">
        <f>B12*Assumptions!B6</f>
        <v/>
      </c>
      <c r="F12" s="4">
        <f>B12*Assumptions!B7</f>
        <v/>
      </c>
      <c r="G12" s="4">
        <f>Assumptions!B3</f>
        <v/>
      </c>
      <c r="H12" s="4">
        <f>B12-SUM(C12:G12)</f>
        <v/>
      </c>
      <c r="I12" s="4">
        <f>Assumptions!B10/60</f>
        <v/>
      </c>
      <c r="J12" s="4">
        <f>H12-I12</f>
        <v/>
      </c>
      <c r="K12" s="4">
        <f>J12*(Assumptions!B15+Assumptions!B16)</f>
        <v/>
      </c>
      <c r="L12" s="4">
        <f>J12-K12</f>
        <v/>
      </c>
    </row>
    <row r="13">
      <c r="A13" s="3">
        <f>Revenue!A13</f>
        <v/>
      </c>
      <c r="B13" s="4">
        <f>Revenue!G13</f>
        <v/>
      </c>
      <c r="C13" s="4">
        <f>B13*Assumptions!B4</f>
        <v/>
      </c>
      <c r="D13" s="4">
        <f>B13*Assumptions!B5</f>
        <v/>
      </c>
      <c r="E13" s="4">
        <f>B13*Assumptions!B6</f>
        <v/>
      </c>
      <c r="F13" s="4">
        <f>B13*Assumptions!B7</f>
        <v/>
      </c>
      <c r="G13" s="4">
        <f>Assumptions!B3</f>
        <v/>
      </c>
      <c r="H13" s="4">
        <f>B13-SUM(C13:G13)</f>
        <v/>
      </c>
      <c r="I13" s="4">
        <f>Assumptions!B10/60</f>
        <v/>
      </c>
      <c r="J13" s="4">
        <f>H13-I13</f>
        <v/>
      </c>
      <c r="K13" s="4">
        <f>J13*(Assumptions!B15+Assumptions!B16)</f>
        <v/>
      </c>
      <c r="L13" s="4">
        <f>J13-K13</f>
        <v/>
      </c>
    </row>
    <row r="14">
      <c r="A14" s="3">
        <f>Revenue!A14</f>
        <v/>
      </c>
      <c r="B14" s="4">
        <f>Revenue!G14</f>
        <v/>
      </c>
      <c r="C14" s="4">
        <f>B14*Assumptions!B4</f>
        <v/>
      </c>
      <c r="D14" s="4">
        <f>B14*Assumptions!B5</f>
        <v/>
      </c>
      <c r="E14" s="4">
        <f>B14*Assumptions!B6</f>
        <v/>
      </c>
      <c r="F14" s="4">
        <f>B14*Assumptions!B7</f>
        <v/>
      </c>
      <c r="G14" s="4">
        <f>Assumptions!B3</f>
        <v/>
      </c>
      <c r="H14" s="4">
        <f>B14-SUM(C14:G14)</f>
        <v/>
      </c>
      <c r="I14" s="4">
        <f>Assumptions!B10/60</f>
        <v/>
      </c>
      <c r="J14" s="4">
        <f>H14-I14</f>
        <v/>
      </c>
      <c r="K14" s="4">
        <f>J14*(Assumptions!B15+Assumptions!B16)</f>
        <v/>
      </c>
      <c r="L14" s="4">
        <f>J14-K14</f>
        <v/>
      </c>
    </row>
    <row r="15">
      <c r="A15" s="3">
        <f>Revenue!A15</f>
        <v/>
      </c>
      <c r="B15" s="4">
        <f>Revenue!G15</f>
        <v/>
      </c>
      <c r="C15" s="4">
        <f>B15*Assumptions!B4</f>
        <v/>
      </c>
      <c r="D15" s="4">
        <f>B15*Assumptions!B5</f>
        <v/>
      </c>
      <c r="E15" s="4">
        <f>B15*Assumptions!B6</f>
        <v/>
      </c>
      <c r="F15" s="4">
        <f>B15*Assumptions!B7</f>
        <v/>
      </c>
      <c r="G15" s="4">
        <f>Assumptions!B3</f>
        <v/>
      </c>
      <c r="H15" s="4">
        <f>B15-SUM(C15:G15)</f>
        <v/>
      </c>
      <c r="I15" s="4">
        <f>Assumptions!B10/60</f>
        <v/>
      </c>
      <c r="J15" s="4">
        <f>H15-I15</f>
        <v/>
      </c>
      <c r="K15" s="4">
        <f>J15*(Assumptions!B15+Assumptions!B16)</f>
        <v/>
      </c>
      <c r="L15" s="4">
        <f>J15-K15</f>
        <v/>
      </c>
    </row>
    <row r="16">
      <c r="A16" s="3">
        <f>Revenue!A16</f>
        <v/>
      </c>
      <c r="B16" s="4">
        <f>Revenue!G16</f>
        <v/>
      </c>
      <c r="C16" s="4">
        <f>B16*Assumptions!B4</f>
        <v/>
      </c>
      <c r="D16" s="4">
        <f>B16*Assumptions!B5</f>
        <v/>
      </c>
      <c r="E16" s="4">
        <f>B16*Assumptions!B6</f>
        <v/>
      </c>
      <c r="F16" s="4">
        <f>B16*Assumptions!B7</f>
        <v/>
      </c>
      <c r="G16" s="4">
        <f>Assumptions!B3</f>
        <v/>
      </c>
      <c r="H16" s="4">
        <f>B16-SUM(C16:G16)</f>
        <v/>
      </c>
      <c r="I16" s="4">
        <f>Assumptions!B10/60</f>
        <v/>
      </c>
      <c r="J16" s="4">
        <f>H16-I16</f>
        <v/>
      </c>
      <c r="K16" s="4">
        <f>J16*(Assumptions!B15+Assumptions!B16)</f>
        <v/>
      </c>
      <c r="L16" s="4">
        <f>J16-K16</f>
        <v/>
      </c>
    </row>
    <row r="17">
      <c r="A17" s="3">
        <f>Revenue!A17</f>
        <v/>
      </c>
      <c r="B17" s="4">
        <f>Revenue!G17</f>
        <v/>
      </c>
      <c r="C17" s="4">
        <f>B17*Assumptions!B4</f>
        <v/>
      </c>
      <c r="D17" s="4">
        <f>B17*Assumptions!B5</f>
        <v/>
      </c>
      <c r="E17" s="4">
        <f>B17*Assumptions!B6</f>
        <v/>
      </c>
      <c r="F17" s="4">
        <f>B17*Assumptions!B7</f>
        <v/>
      </c>
      <c r="G17" s="4">
        <f>Assumptions!B3</f>
        <v/>
      </c>
      <c r="H17" s="4">
        <f>B17-SUM(C17:G17)</f>
        <v/>
      </c>
      <c r="I17" s="4">
        <f>Assumptions!B10/60</f>
        <v/>
      </c>
      <c r="J17" s="4">
        <f>H17-I17</f>
        <v/>
      </c>
      <c r="K17" s="4">
        <f>J17*(Assumptions!B15+Assumptions!B16)</f>
        <v/>
      </c>
      <c r="L17" s="4">
        <f>J17-K17</f>
        <v/>
      </c>
    </row>
    <row r="18">
      <c r="A18" s="3">
        <f>Revenue!A18</f>
        <v/>
      </c>
      <c r="B18" s="4">
        <f>Revenue!G18</f>
        <v/>
      </c>
      <c r="C18" s="4">
        <f>B18*Assumptions!B4</f>
        <v/>
      </c>
      <c r="D18" s="4">
        <f>B18*Assumptions!B5</f>
        <v/>
      </c>
      <c r="E18" s="4">
        <f>B18*Assumptions!B6</f>
        <v/>
      </c>
      <c r="F18" s="4">
        <f>B18*Assumptions!B7</f>
        <v/>
      </c>
      <c r="G18" s="4">
        <f>Assumptions!B3</f>
        <v/>
      </c>
      <c r="H18" s="4">
        <f>B18-SUM(C18:G18)</f>
        <v/>
      </c>
      <c r="I18" s="4">
        <f>Assumptions!B10/60</f>
        <v/>
      </c>
      <c r="J18" s="4">
        <f>H18-I18</f>
        <v/>
      </c>
      <c r="K18" s="4">
        <f>J18*(Assumptions!B15+Assumptions!B16)</f>
        <v/>
      </c>
      <c r="L18" s="4">
        <f>J18-K18</f>
        <v/>
      </c>
    </row>
    <row r="19">
      <c r="A19" s="3">
        <f>Revenue!A19</f>
        <v/>
      </c>
      <c r="B19" s="4">
        <f>Revenue!G19</f>
        <v/>
      </c>
      <c r="C19" s="4">
        <f>B19*Assumptions!B4</f>
        <v/>
      </c>
      <c r="D19" s="4">
        <f>B19*Assumptions!B5</f>
        <v/>
      </c>
      <c r="E19" s="4">
        <f>B19*Assumptions!B6</f>
        <v/>
      </c>
      <c r="F19" s="4">
        <f>B19*Assumptions!B7</f>
        <v/>
      </c>
      <c r="G19" s="4">
        <f>Assumptions!B3</f>
        <v/>
      </c>
      <c r="H19" s="4">
        <f>B19-SUM(C19:G19)</f>
        <v/>
      </c>
      <c r="I19" s="4">
        <f>Assumptions!B10/60</f>
        <v/>
      </c>
      <c r="J19" s="4">
        <f>H19-I19</f>
        <v/>
      </c>
      <c r="K19" s="4">
        <f>J19*(Assumptions!B15+Assumptions!B16)</f>
        <v/>
      </c>
      <c r="L19" s="4">
        <f>J19-K19</f>
        <v/>
      </c>
    </row>
    <row r="20">
      <c r="A20" s="3">
        <f>Revenue!A20</f>
        <v/>
      </c>
      <c r="B20" s="4">
        <f>Revenue!G20</f>
        <v/>
      </c>
      <c r="C20" s="4">
        <f>B20*Assumptions!B4</f>
        <v/>
      </c>
      <c r="D20" s="4">
        <f>B20*Assumptions!B5</f>
        <v/>
      </c>
      <c r="E20" s="4">
        <f>B20*Assumptions!B6</f>
        <v/>
      </c>
      <c r="F20" s="4">
        <f>B20*Assumptions!B7</f>
        <v/>
      </c>
      <c r="G20" s="4">
        <f>Assumptions!B3</f>
        <v/>
      </c>
      <c r="H20" s="4">
        <f>B20-SUM(C20:G20)</f>
        <v/>
      </c>
      <c r="I20" s="4">
        <f>Assumptions!B10/60</f>
        <v/>
      </c>
      <c r="J20" s="4">
        <f>H20-I20</f>
        <v/>
      </c>
      <c r="K20" s="4">
        <f>J20*(Assumptions!B15+Assumptions!B16)</f>
        <v/>
      </c>
      <c r="L20" s="4">
        <f>J20-K20</f>
        <v/>
      </c>
    </row>
    <row r="21">
      <c r="A21" s="3">
        <f>Revenue!A21</f>
        <v/>
      </c>
      <c r="B21" s="4">
        <f>Revenue!G21</f>
        <v/>
      </c>
      <c r="C21" s="4">
        <f>B21*Assumptions!B4</f>
        <v/>
      </c>
      <c r="D21" s="4">
        <f>B21*Assumptions!B5</f>
        <v/>
      </c>
      <c r="E21" s="4">
        <f>B21*Assumptions!B6</f>
        <v/>
      </c>
      <c r="F21" s="4">
        <f>B21*Assumptions!B7</f>
        <v/>
      </c>
      <c r="G21" s="4">
        <f>Assumptions!B3</f>
        <v/>
      </c>
      <c r="H21" s="4">
        <f>B21-SUM(C21:G21)</f>
        <v/>
      </c>
      <c r="I21" s="4">
        <f>Assumptions!B10/60</f>
        <v/>
      </c>
      <c r="J21" s="4">
        <f>H21-I21</f>
        <v/>
      </c>
      <c r="K21" s="4">
        <f>J21*(Assumptions!B15+Assumptions!B16)</f>
        <v/>
      </c>
      <c r="L21" s="4">
        <f>J21-K21</f>
        <v/>
      </c>
    </row>
    <row r="22">
      <c r="A22" s="3">
        <f>Revenue!A22</f>
        <v/>
      </c>
      <c r="B22" s="4">
        <f>Revenue!G22</f>
        <v/>
      </c>
      <c r="C22" s="4">
        <f>B22*Assumptions!B4</f>
        <v/>
      </c>
      <c r="D22" s="4">
        <f>B22*Assumptions!B5</f>
        <v/>
      </c>
      <c r="E22" s="4">
        <f>B22*Assumptions!B6</f>
        <v/>
      </c>
      <c r="F22" s="4">
        <f>B22*Assumptions!B7</f>
        <v/>
      </c>
      <c r="G22" s="4">
        <f>Assumptions!B3</f>
        <v/>
      </c>
      <c r="H22" s="4">
        <f>B22-SUM(C22:G22)</f>
        <v/>
      </c>
      <c r="I22" s="4">
        <f>Assumptions!B10/60</f>
        <v/>
      </c>
      <c r="J22" s="4">
        <f>H22-I22</f>
        <v/>
      </c>
      <c r="K22" s="4">
        <f>J22*(Assumptions!B15+Assumptions!B16)</f>
        <v/>
      </c>
      <c r="L22" s="4">
        <f>J22-K22</f>
        <v/>
      </c>
    </row>
    <row r="23">
      <c r="A23" s="3">
        <f>Revenue!A23</f>
        <v/>
      </c>
      <c r="B23" s="4">
        <f>Revenue!G23</f>
        <v/>
      </c>
      <c r="C23" s="4">
        <f>B23*Assumptions!B4</f>
        <v/>
      </c>
      <c r="D23" s="4">
        <f>B23*Assumptions!B5</f>
        <v/>
      </c>
      <c r="E23" s="4">
        <f>B23*Assumptions!B6</f>
        <v/>
      </c>
      <c r="F23" s="4">
        <f>B23*Assumptions!B7</f>
        <v/>
      </c>
      <c r="G23" s="4">
        <f>Assumptions!B3</f>
        <v/>
      </c>
      <c r="H23" s="4">
        <f>B23-SUM(C23:G23)</f>
        <v/>
      </c>
      <c r="I23" s="4">
        <f>Assumptions!B10/60</f>
        <v/>
      </c>
      <c r="J23" s="4">
        <f>H23-I23</f>
        <v/>
      </c>
      <c r="K23" s="4">
        <f>J23*(Assumptions!B15+Assumptions!B16)</f>
        <v/>
      </c>
      <c r="L23" s="4">
        <f>J23-K23</f>
        <v/>
      </c>
    </row>
    <row r="24">
      <c r="A24" s="3">
        <f>Revenue!A24</f>
        <v/>
      </c>
      <c r="B24" s="4">
        <f>Revenue!G24</f>
        <v/>
      </c>
      <c r="C24" s="4">
        <f>B24*Assumptions!B4</f>
        <v/>
      </c>
      <c r="D24" s="4">
        <f>B24*Assumptions!B5</f>
        <v/>
      </c>
      <c r="E24" s="4">
        <f>B24*Assumptions!B6</f>
        <v/>
      </c>
      <c r="F24" s="4">
        <f>B24*Assumptions!B7</f>
        <v/>
      </c>
      <c r="G24" s="4">
        <f>Assumptions!B3</f>
        <v/>
      </c>
      <c r="H24" s="4">
        <f>B24-SUM(C24:G24)</f>
        <v/>
      </c>
      <c r="I24" s="4">
        <f>Assumptions!B10/60</f>
        <v/>
      </c>
      <c r="J24" s="4">
        <f>H24-I24</f>
        <v/>
      </c>
      <c r="K24" s="4">
        <f>J24*(Assumptions!B15+Assumptions!B16)</f>
        <v/>
      </c>
      <c r="L24" s="4">
        <f>J24-K24</f>
        <v/>
      </c>
    </row>
    <row r="25">
      <c r="A25" s="3">
        <f>Revenue!A25</f>
        <v/>
      </c>
      <c r="B25" s="4">
        <f>Revenue!G25</f>
        <v/>
      </c>
      <c r="C25" s="4">
        <f>B25*Assumptions!B4</f>
        <v/>
      </c>
      <c r="D25" s="4">
        <f>B25*Assumptions!B5</f>
        <v/>
      </c>
      <c r="E25" s="4">
        <f>B25*Assumptions!B6</f>
        <v/>
      </c>
      <c r="F25" s="4">
        <f>B25*Assumptions!B7</f>
        <v/>
      </c>
      <c r="G25" s="4">
        <f>Assumptions!B3</f>
        <v/>
      </c>
      <c r="H25" s="4">
        <f>B25-SUM(C25:G25)</f>
        <v/>
      </c>
      <c r="I25" s="4">
        <f>Assumptions!B10/60</f>
        <v/>
      </c>
      <c r="J25" s="4">
        <f>H25-I25</f>
        <v/>
      </c>
      <c r="K25" s="4">
        <f>J25*(Assumptions!B15+Assumptions!B16)</f>
        <v/>
      </c>
      <c r="L25" s="4">
        <f>J25-K25</f>
        <v/>
      </c>
    </row>
    <row r="26">
      <c r="A26" s="3">
        <f>Revenue!A26</f>
        <v/>
      </c>
      <c r="B26" s="4">
        <f>Revenue!G26</f>
        <v/>
      </c>
      <c r="C26" s="4">
        <f>B26*Assumptions!B4</f>
        <v/>
      </c>
      <c r="D26" s="4">
        <f>B26*Assumptions!B5</f>
        <v/>
      </c>
      <c r="E26" s="4">
        <f>B26*Assumptions!B6</f>
        <v/>
      </c>
      <c r="F26" s="4">
        <f>B26*Assumptions!B7</f>
        <v/>
      </c>
      <c r="G26" s="4">
        <f>Assumptions!B3</f>
        <v/>
      </c>
      <c r="H26" s="4">
        <f>B26-SUM(C26:G26)</f>
        <v/>
      </c>
      <c r="I26" s="4">
        <f>Assumptions!B10/60</f>
        <v/>
      </c>
      <c r="J26" s="4">
        <f>H26-I26</f>
        <v/>
      </c>
      <c r="K26" s="4">
        <f>J26*(Assumptions!B15+Assumptions!B16)</f>
        <v/>
      </c>
      <c r="L26" s="4">
        <f>J26-K26</f>
        <v/>
      </c>
    </row>
    <row r="27">
      <c r="A27" s="3">
        <f>Revenue!A27</f>
        <v/>
      </c>
      <c r="B27" s="4">
        <f>Revenue!G27</f>
        <v/>
      </c>
      <c r="C27" s="4">
        <f>B27*Assumptions!B4</f>
        <v/>
      </c>
      <c r="D27" s="4">
        <f>B27*Assumptions!B5</f>
        <v/>
      </c>
      <c r="E27" s="4">
        <f>B27*Assumptions!B6</f>
        <v/>
      </c>
      <c r="F27" s="4">
        <f>B27*Assumptions!B7</f>
        <v/>
      </c>
      <c r="G27" s="4">
        <f>Assumptions!B3</f>
        <v/>
      </c>
      <c r="H27" s="4">
        <f>B27-SUM(C27:G27)</f>
        <v/>
      </c>
      <c r="I27" s="4">
        <f>Assumptions!B10/60</f>
        <v/>
      </c>
      <c r="J27" s="4">
        <f>H27-I27</f>
        <v/>
      </c>
      <c r="K27" s="4">
        <f>J27*(Assumptions!B15+Assumptions!B16)</f>
        <v/>
      </c>
      <c r="L27" s="4">
        <f>J27-K27</f>
        <v/>
      </c>
    </row>
    <row r="28">
      <c r="A28" s="3">
        <f>Revenue!A28</f>
        <v/>
      </c>
      <c r="B28" s="4">
        <f>Revenue!G28</f>
        <v/>
      </c>
      <c r="C28" s="4">
        <f>B28*Assumptions!B4</f>
        <v/>
      </c>
      <c r="D28" s="4">
        <f>B28*Assumptions!B5</f>
        <v/>
      </c>
      <c r="E28" s="4">
        <f>B28*Assumptions!B6</f>
        <v/>
      </c>
      <c r="F28" s="4">
        <f>B28*Assumptions!B7</f>
        <v/>
      </c>
      <c r="G28" s="4">
        <f>Assumptions!B3</f>
        <v/>
      </c>
      <c r="H28" s="4">
        <f>B28-SUM(C28:G28)</f>
        <v/>
      </c>
      <c r="I28" s="4">
        <f>Assumptions!B10/60</f>
        <v/>
      </c>
      <c r="J28" s="4">
        <f>H28-I28</f>
        <v/>
      </c>
      <c r="K28" s="4">
        <f>J28*(Assumptions!B15+Assumptions!B16)</f>
        <v/>
      </c>
      <c r="L28" s="4">
        <f>J28-K28</f>
        <v/>
      </c>
    </row>
    <row r="29">
      <c r="A29" s="3">
        <f>Revenue!A29</f>
        <v/>
      </c>
      <c r="B29" s="4">
        <f>Revenue!G29</f>
        <v/>
      </c>
      <c r="C29" s="4">
        <f>B29*Assumptions!B4</f>
        <v/>
      </c>
      <c r="D29" s="4">
        <f>B29*Assumptions!B5</f>
        <v/>
      </c>
      <c r="E29" s="4">
        <f>B29*Assumptions!B6</f>
        <v/>
      </c>
      <c r="F29" s="4">
        <f>B29*Assumptions!B7</f>
        <v/>
      </c>
      <c r="G29" s="4">
        <f>Assumptions!B3</f>
        <v/>
      </c>
      <c r="H29" s="4">
        <f>B29-SUM(C29:G29)</f>
        <v/>
      </c>
      <c r="I29" s="4">
        <f>Assumptions!B10/60</f>
        <v/>
      </c>
      <c r="J29" s="4">
        <f>H29-I29</f>
        <v/>
      </c>
      <c r="K29" s="4">
        <f>J29*(Assumptions!B15+Assumptions!B16)</f>
        <v/>
      </c>
      <c r="L29" s="4">
        <f>J29-K29</f>
        <v/>
      </c>
    </row>
    <row r="30">
      <c r="A30" s="3">
        <f>Revenue!A30</f>
        <v/>
      </c>
      <c r="B30" s="4">
        <f>Revenue!G30</f>
        <v/>
      </c>
      <c r="C30" s="4">
        <f>B30*Assumptions!B4</f>
        <v/>
      </c>
      <c r="D30" s="4">
        <f>B30*Assumptions!B5</f>
        <v/>
      </c>
      <c r="E30" s="4">
        <f>B30*Assumptions!B6</f>
        <v/>
      </c>
      <c r="F30" s="4">
        <f>B30*Assumptions!B7</f>
        <v/>
      </c>
      <c r="G30" s="4">
        <f>Assumptions!B3</f>
        <v/>
      </c>
      <c r="H30" s="4">
        <f>B30-SUM(C30:G30)</f>
        <v/>
      </c>
      <c r="I30" s="4">
        <f>Assumptions!B10/60</f>
        <v/>
      </c>
      <c r="J30" s="4">
        <f>H30-I30</f>
        <v/>
      </c>
      <c r="K30" s="4">
        <f>J30*(Assumptions!B15+Assumptions!B16)</f>
        <v/>
      </c>
      <c r="L30" s="4">
        <f>J30-K30</f>
        <v/>
      </c>
    </row>
    <row r="31">
      <c r="A31" s="3">
        <f>Revenue!A31</f>
        <v/>
      </c>
      <c r="B31" s="4">
        <f>Revenue!G31</f>
        <v/>
      </c>
      <c r="C31" s="4">
        <f>B31*Assumptions!B4</f>
        <v/>
      </c>
      <c r="D31" s="4">
        <f>B31*Assumptions!B5</f>
        <v/>
      </c>
      <c r="E31" s="4">
        <f>B31*Assumptions!B6</f>
        <v/>
      </c>
      <c r="F31" s="4">
        <f>B31*Assumptions!B7</f>
        <v/>
      </c>
      <c r="G31" s="4">
        <f>Assumptions!B3</f>
        <v/>
      </c>
      <c r="H31" s="4">
        <f>B31-SUM(C31:G31)</f>
        <v/>
      </c>
      <c r="I31" s="4">
        <f>Assumptions!B10/60</f>
        <v/>
      </c>
      <c r="J31" s="4">
        <f>H31-I31</f>
        <v/>
      </c>
      <c r="K31" s="4">
        <f>J31*(Assumptions!B15+Assumptions!B16)</f>
        <v/>
      </c>
      <c r="L31" s="4">
        <f>J31-K31</f>
        <v/>
      </c>
    </row>
    <row r="32">
      <c r="A32" s="3">
        <f>Revenue!A32</f>
        <v/>
      </c>
      <c r="B32" s="4">
        <f>Revenue!G32</f>
        <v/>
      </c>
      <c r="C32" s="4">
        <f>B32*Assumptions!B4</f>
        <v/>
      </c>
      <c r="D32" s="4">
        <f>B32*Assumptions!B5</f>
        <v/>
      </c>
      <c r="E32" s="4">
        <f>B32*Assumptions!B6</f>
        <v/>
      </c>
      <c r="F32" s="4">
        <f>B32*Assumptions!B7</f>
        <v/>
      </c>
      <c r="G32" s="4">
        <f>Assumptions!B3</f>
        <v/>
      </c>
      <c r="H32" s="4">
        <f>B32-SUM(C32:G32)</f>
        <v/>
      </c>
      <c r="I32" s="4">
        <f>Assumptions!B10/60</f>
        <v/>
      </c>
      <c r="J32" s="4">
        <f>H32-I32</f>
        <v/>
      </c>
      <c r="K32" s="4">
        <f>J32*(Assumptions!B15+Assumptions!B16)</f>
        <v/>
      </c>
      <c r="L32" s="4">
        <f>J32-K32</f>
        <v/>
      </c>
    </row>
    <row r="33">
      <c r="A33" s="3">
        <f>Revenue!A33</f>
        <v/>
      </c>
      <c r="B33" s="4">
        <f>Revenue!G33</f>
        <v/>
      </c>
      <c r="C33" s="4">
        <f>B33*Assumptions!B4</f>
        <v/>
      </c>
      <c r="D33" s="4">
        <f>B33*Assumptions!B5</f>
        <v/>
      </c>
      <c r="E33" s="4">
        <f>B33*Assumptions!B6</f>
        <v/>
      </c>
      <c r="F33" s="4">
        <f>B33*Assumptions!B7</f>
        <v/>
      </c>
      <c r="G33" s="4">
        <f>Assumptions!B3</f>
        <v/>
      </c>
      <c r="H33" s="4">
        <f>B33-SUM(C33:G33)</f>
        <v/>
      </c>
      <c r="I33" s="4">
        <f>Assumptions!B10/60</f>
        <v/>
      </c>
      <c r="J33" s="4">
        <f>H33-I33</f>
        <v/>
      </c>
      <c r="K33" s="4">
        <f>J33*(Assumptions!B15+Assumptions!B16)</f>
        <v/>
      </c>
      <c r="L33" s="4">
        <f>J33-K33</f>
        <v/>
      </c>
    </row>
    <row r="34">
      <c r="A34" s="3">
        <f>Revenue!A34</f>
        <v/>
      </c>
      <c r="B34" s="4">
        <f>Revenue!G34</f>
        <v/>
      </c>
      <c r="C34" s="4">
        <f>B34*Assumptions!B4</f>
        <v/>
      </c>
      <c r="D34" s="4">
        <f>B34*Assumptions!B5</f>
        <v/>
      </c>
      <c r="E34" s="4">
        <f>B34*Assumptions!B6</f>
        <v/>
      </c>
      <c r="F34" s="4">
        <f>B34*Assumptions!B7</f>
        <v/>
      </c>
      <c r="G34" s="4">
        <f>Assumptions!B3</f>
        <v/>
      </c>
      <c r="H34" s="4">
        <f>B34-SUM(C34:G34)</f>
        <v/>
      </c>
      <c r="I34" s="4">
        <f>Assumptions!B10/60</f>
        <v/>
      </c>
      <c r="J34" s="4">
        <f>H34-I34</f>
        <v/>
      </c>
      <c r="K34" s="4">
        <f>J34*(Assumptions!B15+Assumptions!B16)</f>
        <v/>
      </c>
      <c r="L34" s="4">
        <f>J34-K34</f>
        <v/>
      </c>
    </row>
    <row r="35">
      <c r="A35" s="3">
        <f>Revenue!A35</f>
        <v/>
      </c>
      <c r="B35" s="4">
        <f>Revenue!G35</f>
        <v/>
      </c>
      <c r="C35" s="4">
        <f>B35*Assumptions!B4</f>
        <v/>
      </c>
      <c r="D35" s="4">
        <f>B35*Assumptions!B5</f>
        <v/>
      </c>
      <c r="E35" s="4">
        <f>B35*Assumptions!B6</f>
        <v/>
      </c>
      <c r="F35" s="4">
        <f>B35*Assumptions!B7</f>
        <v/>
      </c>
      <c r="G35" s="4">
        <f>Assumptions!B3</f>
        <v/>
      </c>
      <c r="H35" s="4">
        <f>B35-SUM(C35:G35)</f>
        <v/>
      </c>
      <c r="I35" s="4">
        <f>Assumptions!B10/60</f>
        <v/>
      </c>
      <c r="J35" s="4">
        <f>H35-I35</f>
        <v/>
      </c>
      <c r="K35" s="4">
        <f>J35*(Assumptions!B15+Assumptions!B16)</f>
        <v/>
      </c>
      <c r="L35" s="4">
        <f>J35-K35</f>
        <v/>
      </c>
    </row>
    <row r="36">
      <c r="A36" s="3">
        <f>Revenue!A36</f>
        <v/>
      </c>
      <c r="B36" s="4">
        <f>Revenue!G36</f>
        <v/>
      </c>
      <c r="C36" s="4">
        <f>B36*Assumptions!B4</f>
        <v/>
      </c>
      <c r="D36" s="4">
        <f>B36*Assumptions!B5</f>
        <v/>
      </c>
      <c r="E36" s="4">
        <f>B36*Assumptions!B6</f>
        <v/>
      </c>
      <c r="F36" s="4">
        <f>B36*Assumptions!B7</f>
        <v/>
      </c>
      <c r="G36" s="4">
        <f>Assumptions!B3</f>
        <v/>
      </c>
      <c r="H36" s="4">
        <f>B36-SUM(C36:G36)</f>
        <v/>
      </c>
      <c r="I36" s="4">
        <f>Assumptions!B10/60</f>
        <v/>
      </c>
      <c r="J36" s="4">
        <f>H36-I36</f>
        <v/>
      </c>
      <c r="K36" s="4">
        <f>J36*(Assumptions!B15+Assumptions!B16)</f>
        <v/>
      </c>
      <c r="L36" s="4">
        <f>J36-K36</f>
        <v/>
      </c>
    </row>
    <row r="37">
      <c r="A37" s="3">
        <f>Revenue!A37</f>
        <v/>
      </c>
      <c r="B37" s="4">
        <f>Revenue!G37</f>
        <v/>
      </c>
      <c r="C37" s="4">
        <f>B37*Assumptions!B4</f>
        <v/>
      </c>
      <c r="D37" s="4">
        <f>B37*Assumptions!B5</f>
        <v/>
      </c>
      <c r="E37" s="4">
        <f>B37*Assumptions!B6</f>
        <v/>
      </c>
      <c r="F37" s="4">
        <f>B37*Assumptions!B7</f>
        <v/>
      </c>
      <c r="G37" s="4">
        <f>Assumptions!B3</f>
        <v/>
      </c>
      <c r="H37" s="4">
        <f>B37-SUM(C37:G37)</f>
        <v/>
      </c>
      <c r="I37" s="4">
        <f>Assumptions!B10/60</f>
        <v/>
      </c>
      <c r="J37" s="4">
        <f>H37-I37</f>
        <v/>
      </c>
      <c r="K37" s="4">
        <f>J37*(Assumptions!B15+Assumptions!B16)</f>
        <v/>
      </c>
      <c r="L37" s="4">
        <f>J37-K37</f>
        <v/>
      </c>
    </row>
    <row r="38">
      <c r="A38" s="3">
        <f>Revenue!A38</f>
        <v/>
      </c>
      <c r="B38" s="4">
        <f>Revenue!G38</f>
        <v/>
      </c>
      <c r="C38" s="4">
        <f>B38*Assumptions!B4</f>
        <v/>
      </c>
      <c r="D38" s="4">
        <f>B38*Assumptions!B5</f>
        <v/>
      </c>
      <c r="E38" s="4">
        <f>B38*Assumptions!B6</f>
        <v/>
      </c>
      <c r="F38" s="4">
        <f>B38*Assumptions!B7</f>
        <v/>
      </c>
      <c r="G38" s="4">
        <f>Assumptions!B3</f>
        <v/>
      </c>
      <c r="H38" s="4">
        <f>B38-SUM(C38:G38)</f>
        <v/>
      </c>
      <c r="I38" s="4">
        <f>Assumptions!B10/60</f>
        <v/>
      </c>
      <c r="J38" s="4">
        <f>H38-I38</f>
        <v/>
      </c>
      <c r="K38" s="4">
        <f>J38*(Assumptions!B15+Assumptions!B16)</f>
        <v/>
      </c>
      <c r="L38" s="4">
        <f>J38-K38</f>
        <v/>
      </c>
    </row>
    <row r="39">
      <c r="A39" s="3">
        <f>Revenue!A39</f>
        <v/>
      </c>
      <c r="B39" s="4">
        <f>Revenue!G39</f>
        <v/>
      </c>
      <c r="C39" s="4">
        <f>B39*Assumptions!B4</f>
        <v/>
      </c>
      <c r="D39" s="4">
        <f>B39*Assumptions!B5</f>
        <v/>
      </c>
      <c r="E39" s="4">
        <f>B39*Assumptions!B6</f>
        <v/>
      </c>
      <c r="F39" s="4">
        <f>B39*Assumptions!B7</f>
        <v/>
      </c>
      <c r="G39" s="4">
        <f>Assumptions!B3</f>
        <v/>
      </c>
      <c r="H39" s="4">
        <f>B39-SUM(C39:G39)</f>
        <v/>
      </c>
      <c r="I39" s="4">
        <f>Assumptions!B10/60</f>
        <v/>
      </c>
      <c r="J39" s="4">
        <f>H39-I39</f>
        <v/>
      </c>
      <c r="K39" s="4">
        <f>J39*(Assumptions!B15+Assumptions!B16)</f>
        <v/>
      </c>
      <c r="L39" s="4">
        <f>J39-K39</f>
        <v/>
      </c>
    </row>
    <row r="40">
      <c r="A40" s="3">
        <f>Revenue!A40</f>
        <v/>
      </c>
      <c r="B40" s="4">
        <f>Revenue!G40</f>
        <v/>
      </c>
      <c r="C40" s="4">
        <f>B40*Assumptions!B4</f>
        <v/>
      </c>
      <c r="D40" s="4">
        <f>B40*Assumptions!B5</f>
        <v/>
      </c>
      <c r="E40" s="4">
        <f>B40*Assumptions!B6</f>
        <v/>
      </c>
      <c r="F40" s="4">
        <f>B40*Assumptions!B7</f>
        <v/>
      </c>
      <c r="G40" s="4">
        <f>Assumptions!B3</f>
        <v/>
      </c>
      <c r="H40" s="4">
        <f>B40-SUM(C40:G40)</f>
        <v/>
      </c>
      <c r="I40" s="4">
        <f>Assumptions!B10/60</f>
        <v/>
      </c>
      <c r="J40" s="4">
        <f>H40-I40</f>
        <v/>
      </c>
      <c r="K40" s="4">
        <f>J40*(Assumptions!B15+Assumptions!B16)</f>
        <v/>
      </c>
      <c r="L40" s="4">
        <f>J40-K40</f>
        <v/>
      </c>
    </row>
    <row r="41">
      <c r="A41" s="3">
        <f>Revenue!A41</f>
        <v/>
      </c>
      <c r="B41" s="4">
        <f>Revenue!G41</f>
        <v/>
      </c>
      <c r="C41" s="4">
        <f>B41*Assumptions!B4</f>
        <v/>
      </c>
      <c r="D41" s="4">
        <f>B41*Assumptions!B5</f>
        <v/>
      </c>
      <c r="E41" s="4">
        <f>B41*Assumptions!B6</f>
        <v/>
      </c>
      <c r="F41" s="4">
        <f>B41*Assumptions!B7</f>
        <v/>
      </c>
      <c r="G41" s="4">
        <f>Assumptions!B3</f>
        <v/>
      </c>
      <c r="H41" s="4">
        <f>B41-SUM(C41:G41)</f>
        <v/>
      </c>
      <c r="I41" s="4">
        <f>Assumptions!B10/60</f>
        <v/>
      </c>
      <c r="J41" s="4">
        <f>H41-I41</f>
        <v/>
      </c>
      <c r="K41" s="4">
        <f>J41*(Assumptions!B15+Assumptions!B16)</f>
        <v/>
      </c>
      <c r="L41" s="4">
        <f>J41-K41</f>
        <v/>
      </c>
    </row>
    <row r="42">
      <c r="A42" s="3">
        <f>Revenue!A42</f>
        <v/>
      </c>
      <c r="B42" s="4">
        <f>Revenue!G42</f>
        <v/>
      </c>
      <c r="C42" s="4">
        <f>B42*Assumptions!B4</f>
        <v/>
      </c>
      <c r="D42" s="4">
        <f>B42*Assumptions!B5</f>
        <v/>
      </c>
      <c r="E42" s="4">
        <f>B42*Assumptions!B6</f>
        <v/>
      </c>
      <c r="F42" s="4">
        <f>B42*Assumptions!B7</f>
        <v/>
      </c>
      <c r="G42" s="4">
        <f>Assumptions!B3</f>
        <v/>
      </c>
      <c r="H42" s="4">
        <f>B42-SUM(C42:G42)</f>
        <v/>
      </c>
      <c r="I42" s="4">
        <f>Assumptions!B10/60</f>
        <v/>
      </c>
      <c r="J42" s="4">
        <f>H42-I42</f>
        <v/>
      </c>
      <c r="K42" s="4">
        <f>J42*(Assumptions!B15+Assumptions!B16)</f>
        <v/>
      </c>
      <c r="L42" s="4">
        <f>J42-K42</f>
        <v/>
      </c>
    </row>
    <row r="43">
      <c r="A43" s="3">
        <f>Revenue!A43</f>
        <v/>
      </c>
      <c r="B43" s="4">
        <f>Revenue!G43</f>
        <v/>
      </c>
      <c r="C43" s="4">
        <f>B43*Assumptions!B4</f>
        <v/>
      </c>
      <c r="D43" s="4">
        <f>B43*Assumptions!B5</f>
        <v/>
      </c>
      <c r="E43" s="4">
        <f>B43*Assumptions!B6</f>
        <v/>
      </c>
      <c r="F43" s="4">
        <f>B43*Assumptions!B7</f>
        <v/>
      </c>
      <c r="G43" s="4">
        <f>Assumptions!B3</f>
        <v/>
      </c>
      <c r="H43" s="4">
        <f>B43-SUM(C43:G43)</f>
        <v/>
      </c>
      <c r="I43" s="4">
        <f>Assumptions!B10/60</f>
        <v/>
      </c>
      <c r="J43" s="4">
        <f>H43-I43</f>
        <v/>
      </c>
      <c r="K43" s="4">
        <f>J43*(Assumptions!B15+Assumptions!B16)</f>
        <v/>
      </c>
      <c r="L43" s="4">
        <f>J43-K43</f>
        <v/>
      </c>
    </row>
    <row r="44">
      <c r="A44" s="3">
        <f>Revenue!A44</f>
        <v/>
      </c>
      <c r="B44" s="4">
        <f>Revenue!G44</f>
        <v/>
      </c>
      <c r="C44" s="4">
        <f>B44*Assumptions!B4</f>
        <v/>
      </c>
      <c r="D44" s="4">
        <f>B44*Assumptions!B5</f>
        <v/>
      </c>
      <c r="E44" s="4">
        <f>B44*Assumptions!B6</f>
        <v/>
      </c>
      <c r="F44" s="4">
        <f>B44*Assumptions!B7</f>
        <v/>
      </c>
      <c r="G44" s="4">
        <f>Assumptions!B3</f>
        <v/>
      </c>
      <c r="H44" s="4">
        <f>B44-SUM(C44:G44)</f>
        <v/>
      </c>
      <c r="I44" s="4">
        <f>Assumptions!B10/60</f>
        <v/>
      </c>
      <c r="J44" s="4">
        <f>H44-I44</f>
        <v/>
      </c>
      <c r="K44" s="4">
        <f>J44*(Assumptions!B15+Assumptions!B16)</f>
        <v/>
      </c>
      <c r="L44" s="4">
        <f>J44-K44</f>
        <v/>
      </c>
    </row>
    <row r="45">
      <c r="A45" s="3">
        <f>Revenue!A45</f>
        <v/>
      </c>
      <c r="B45" s="4">
        <f>Revenue!G45</f>
        <v/>
      </c>
      <c r="C45" s="4">
        <f>B45*Assumptions!B4</f>
        <v/>
      </c>
      <c r="D45" s="4">
        <f>B45*Assumptions!B5</f>
        <v/>
      </c>
      <c r="E45" s="4">
        <f>B45*Assumptions!B6</f>
        <v/>
      </c>
      <c r="F45" s="4">
        <f>B45*Assumptions!B7</f>
        <v/>
      </c>
      <c r="G45" s="4">
        <f>Assumptions!B3</f>
        <v/>
      </c>
      <c r="H45" s="4">
        <f>B45-SUM(C45:G45)</f>
        <v/>
      </c>
      <c r="I45" s="4">
        <f>Assumptions!B10/60</f>
        <v/>
      </c>
      <c r="J45" s="4">
        <f>H45-I45</f>
        <v/>
      </c>
      <c r="K45" s="4">
        <f>J45*(Assumptions!B15+Assumptions!B16)</f>
        <v/>
      </c>
      <c r="L45" s="4">
        <f>J45-K45</f>
        <v/>
      </c>
    </row>
    <row r="46">
      <c r="A46" s="3">
        <f>Revenue!A46</f>
        <v/>
      </c>
      <c r="B46" s="4">
        <f>Revenue!G46</f>
        <v/>
      </c>
      <c r="C46" s="4">
        <f>B46*Assumptions!B4</f>
        <v/>
      </c>
      <c r="D46" s="4">
        <f>B46*Assumptions!B5</f>
        <v/>
      </c>
      <c r="E46" s="4">
        <f>B46*Assumptions!B6</f>
        <v/>
      </c>
      <c r="F46" s="4">
        <f>B46*Assumptions!B7</f>
        <v/>
      </c>
      <c r="G46" s="4">
        <f>Assumptions!B3</f>
        <v/>
      </c>
      <c r="H46" s="4">
        <f>B46-SUM(C46:G46)</f>
        <v/>
      </c>
      <c r="I46" s="4">
        <f>Assumptions!B10/60</f>
        <v/>
      </c>
      <c r="J46" s="4">
        <f>H46-I46</f>
        <v/>
      </c>
      <c r="K46" s="4">
        <f>J46*(Assumptions!B15+Assumptions!B16)</f>
        <v/>
      </c>
      <c r="L46" s="4">
        <f>J46-K46</f>
        <v/>
      </c>
    </row>
    <row r="47">
      <c r="A47" s="3">
        <f>Revenue!A47</f>
        <v/>
      </c>
      <c r="B47" s="4">
        <f>Revenue!G47</f>
        <v/>
      </c>
      <c r="C47" s="4">
        <f>B47*Assumptions!B4</f>
        <v/>
      </c>
      <c r="D47" s="4">
        <f>B47*Assumptions!B5</f>
        <v/>
      </c>
      <c r="E47" s="4">
        <f>B47*Assumptions!B6</f>
        <v/>
      </c>
      <c r="F47" s="4">
        <f>B47*Assumptions!B7</f>
        <v/>
      </c>
      <c r="G47" s="4">
        <f>Assumptions!B3</f>
        <v/>
      </c>
      <c r="H47" s="4">
        <f>B47-SUM(C47:G47)</f>
        <v/>
      </c>
      <c r="I47" s="4">
        <f>Assumptions!B10/60</f>
        <v/>
      </c>
      <c r="J47" s="4">
        <f>H47-I47</f>
        <v/>
      </c>
      <c r="K47" s="4">
        <f>J47*(Assumptions!B15+Assumptions!B16)</f>
        <v/>
      </c>
      <c r="L47" s="4">
        <f>J47-K47</f>
        <v/>
      </c>
    </row>
    <row r="48">
      <c r="A48" s="3">
        <f>Revenue!A48</f>
        <v/>
      </c>
      <c r="B48" s="4">
        <f>Revenue!G48</f>
        <v/>
      </c>
      <c r="C48" s="4">
        <f>B48*Assumptions!B4</f>
        <v/>
      </c>
      <c r="D48" s="4">
        <f>B48*Assumptions!B5</f>
        <v/>
      </c>
      <c r="E48" s="4">
        <f>B48*Assumptions!B6</f>
        <v/>
      </c>
      <c r="F48" s="4">
        <f>B48*Assumptions!B7</f>
        <v/>
      </c>
      <c r="G48" s="4">
        <f>Assumptions!B3</f>
        <v/>
      </c>
      <c r="H48" s="4">
        <f>B48-SUM(C48:G48)</f>
        <v/>
      </c>
      <c r="I48" s="4">
        <f>Assumptions!B10/60</f>
        <v/>
      </c>
      <c r="J48" s="4">
        <f>H48-I48</f>
        <v/>
      </c>
      <c r="K48" s="4">
        <f>J48*(Assumptions!B15+Assumptions!B16)</f>
        <v/>
      </c>
      <c r="L48" s="4">
        <f>J48-K48</f>
        <v/>
      </c>
    </row>
    <row r="49">
      <c r="A49" s="3">
        <f>Revenue!A49</f>
        <v/>
      </c>
      <c r="B49" s="4">
        <f>Revenue!G49</f>
        <v/>
      </c>
      <c r="C49" s="4">
        <f>B49*Assumptions!B4</f>
        <v/>
      </c>
      <c r="D49" s="4">
        <f>B49*Assumptions!B5</f>
        <v/>
      </c>
      <c r="E49" s="4">
        <f>B49*Assumptions!B6</f>
        <v/>
      </c>
      <c r="F49" s="4">
        <f>B49*Assumptions!B7</f>
        <v/>
      </c>
      <c r="G49" s="4">
        <f>Assumptions!B3</f>
        <v/>
      </c>
      <c r="H49" s="4">
        <f>B49-SUM(C49:G49)</f>
        <v/>
      </c>
      <c r="I49" s="4">
        <f>Assumptions!B10/60</f>
        <v/>
      </c>
      <c r="J49" s="4">
        <f>H49-I49</f>
        <v/>
      </c>
      <c r="K49" s="4">
        <f>J49*(Assumptions!B15+Assumptions!B16)</f>
        <v/>
      </c>
      <c r="L49" s="4">
        <f>J49-K49</f>
        <v/>
      </c>
    </row>
    <row r="50">
      <c r="A50" s="3">
        <f>Revenue!A50</f>
        <v/>
      </c>
      <c r="B50" s="4">
        <f>Revenue!G50</f>
        <v/>
      </c>
      <c r="C50" s="4">
        <f>B50*Assumptions!B4</f>
        <v/>
      </c>
      <c r="D50" s="4">
        <f>B50*Assumptions!B5</f>
        <v/>
      </c>
      <c r="E50" s="4">
        <f>B50*Assumptions!B6</f>
        <v/>
      </c>
      <c r="F50" s="4">
        <f>B50*Assumptions!B7</f>
        <v/>
      </c>
      <c r="G50" s="4">
        <f>Assumptions!B3</f>
        <v/>
      </c>
      <c r="H50" s="4">
        <f>B50-SUM(C50:G50)</f>
        <v/>
      </c>
      <c r="I50" s="4">
        <f>Assumptions!B10/60</f>
        <v/>
      </c>
      <c r="J50" s="4">
        <f>H50-I50</f>
        <v/>
      </c>
      <c r="K50" s="4">
        <f>J50*(Assumptions!B15+Assumptions!B16)</f>
        <v/>
      </c>
      <c r="L50" s="4">
        <f>J50-K50</f>
        <v/>
      </c>
    </row>
    <row r="51">
      <c r="A51" s="3">
        <f>Revenue!A51</f>
        <v/>
      </c>
      <c r="B51" s="4">
        <f>Revenue!G51</f>
        <v/>
      </c>
      <c r="C51" s="4">
        <f>B51*Assumptions!B4</f>
        <v/>
      </c>
      <c r="D51" s="4">
        <f>B51*Assumptions!B5</f>
        <v/>
      </c>
      <c r="E51" s="4">
        <f>B51*Assumptions!B6</f>
        <v/>
      </c>
      <c r="F51" s="4">
        <f>B51*Assumptions!B7</f>
        <v/>
      </c>
      <c r="G51" s="4">
        <f>Assumptions!B3</f>
        <v/>
      </c>
      <c r="H51" s="4">
        <f>B51-SUM(C51:G51)</f>
        <v/>
      </c>
      <c r="I51" s="4">
        <f>Assumptions!B10/60</f>
        <v/>
      </c>
      <c r="J51" s="4">
        <f>H51-I51</f>
        <v/>
      </c>
      <c r="K51" s="4">
        <f>J51*(Assumptions!B15+Assumptions!B16)</f>
        <v/>
      </c>
      <c r="L51" s="4">
        <f>J51-K51</f>
        <v/>
      </c>
    </row>
    <row r="52">
      <c r="A52" s="3">
        <f>Revenue!A52</f>
        <v/>
      </c>
      <c r="B52" s="4">
        <f>Revenue!G52</f>
        <v/>
      </c>
      <c r="C52" s="4">
        <f>B52*Assumptions!B4</f>
        <v/>
      </c>
      <c r="D52" s="4">
        <f>B52*Assumptions!B5</f>
        <v/>
      </c>
      <c r="E52" s="4">
        <f>B52*Assumptions!B6</f>
        <v/>
      </c>
      <c r="F52" s="4">
        <f>B52*Assumptions!B7</f>
        <v/>
      </c>
      <c r="G52" s="4">
        <f>Assumptions!B3</f>
        <v/>
      </c>
      <c r="H52" s="4">
        <f>B52-SUM(C52:G52)</f>
        <v/>
      </c>
      <c r="I52" s="4">
        <f>Assumptions!B10/60</f>
        <v/>
      </c>
      <c r="J52" s="4">
        <f>H52-I52</f>
        <v/>
      </c>
      <c r="K52" s="4">
        <f>J52*(Assumptions!B15+Assumptions!B16)</f>
        <v/>
      </c>
      <c r="L52" s="4">
        <f>J52-K52</f>
        <v/>
      </c>
    </row>
    <row r="53">
      <c r="A53" s="3">
        <f>Revenue!A53</f>
        <v/>
      </c>
      <c r="B53" s="4">
        <f>Revenue!G53</f>
        <v/>
      </c>
      <c r="C53" s="4">
        <f>B53*Assumptions!B4</f>
        <v/>
      </c>
      <c r="D53" s="4">
        <f>B53*Assumptions!B5</f>
        <v/>
      </c>
      <c r="E53" s="4">
        <f>B53*Assumptions!B6</f>
        <v/>
      </c>
      <c r="F53" s="4">
        <f>B53*Assumptions!B7</f>
        <v/>
      </c>
      <c r="G53" s="4">
        <f>Assumptions!B3</f>
        <v/>
      </c>
      <c r="H53" s="4">
        <f>B53-SUM(C53:G53)</f>
        <v/>
      </c>
      <c r="I53" s="4">
        <f>Assumptions!B10/60</f>
        <v/>
      </c>
      <c r="J53" s="4">
        <f>H53-I53</f>
        <v/>
      </c>
      <c r="K53" s="4">
        <f>J53*(Assumptions!B15+Assumptions!B16)</f>
        <v/>
      </c>
      <c r="L53" s="4">
        <f>J53-K53</f>
        <v/>
      </c>
    </row>
    <row r="54">
      <c r="A54" s="3">
        <f>Revenue!A54</f>
        <v/>
      </c>
      <c r="B54" s="4">
        <f>Revenue!G54</f>
        <v/>
      </c>
      <c r="C54" s="4">
        <f>B54*Assumptions!B4</f>
        <v/>
      </c>
      <c r="D54" s="4">
        <f>B54*Assumptions!B5</f>
        <v/>
      </c>
      <c r="E54" s="4">
        <f>B54*Assumptions!B6</f>
        <v/>
      </c>
      <c r="F54" s="4">
        <f>B54*Assumptions!B7</f>
        <v/>
      </c>
      <c r="G54" s="4">
        <f>Assumptions!B3</f>
        <v/>
      </c>
      <c r="H54" s="4">
        <f>B54-SUM(C54:G54)</f>
        <v/>
      </c>
      <c r="I54" s="4">
        <f>Assumptions!B10/60</f>
        <v/>
      </c>
      <c r="J54" s="4">
        <f>H54-I54</f>
        <v/>
      </c>
      <c r="K54" s="4">
        <f>J54*(Assumptions!B15+Assumptions!B16)</f>
        <v/>
      </c>
      <c r="L54" s="4">
        <f>J54-K54</f>
        <v/>
      </c>
    </row>
    <row r="55">
      <c r="A55" s="3">
        <f>Revenue!A55</f>
        <v/>
      </c>
      <c r="B55" s="4">
        <f>Revenue!G55</f>
        <v/>
      </c>
      <c r="C55" s="4">
        <f>B55*Assumptions!B4</f>
        <v/>
      </c>
      <c r="D55" s="4">
        <f>B55*Assumptions!B5</f>
        <v/>
      </c>
      <c r="E55" s="4">
        <f>B55*Assumptions!B6</f>
        <v/>
      </c>
      <c r="F55" s="4">
        <f>B55*Assumptions!B7</f>
        <v/>
      </c>
      <c r="G55" s="4">
        <f>Assumptions!B3</f>
        <v/>
      </c>
      <c r="H55" s="4">
        <f>B55-SUM(C55:G55)</f>
        <v/>
      </c>
      <c r="I55" s="4">
        <f>Assumptions!B10/60</f>
        <v/>
      </c>
      <c r="J55" s="4">
        <f>H55-I55</f>
        <v/>
      </c>
      <c r="K55" s="4">
        <f>J55*(Assumptions!B15+Assumptions!B16)</f>
        <v/>
      </c>
      <c r="L55" s="4">
        <f>J55-K55</f>
        <v/>
      </c>
    </row>
    <row r="56">
      <c r="A56" s="3">
        <f>Revenue!A56</f>
        <v/>
      </c>
      <c r="B56" s="4">
        <f>Revenue!G56</f>
        <v/>
      </c>
      <c r="C56" s="4">
        <f>B56*Assumptions!B4</f>
        <v/>
      </c>
      <c r="D56" s="4">
        <f>B56*Assumptions!B5</f>
        <v/>
      </c>
      <c r="E56" s="4">
        <f>B56*Assumptions!B6</f>
        <v/>
      </c>
      <c r="F56" s="4">
        <f>B56*Assumptions!B7</f>
        <v/>
      </c>
      <c r="G56" s="4">
        <f>Assumptions!B3</f>
        <v/>
      </c>
      <c r="H56" s="4">
        <f>B56-SUM(C56:G56)</f>
        <v/>
      </c>
      <c r="I56" s="4">
        <f>Assumptions!B10/60</f>
        <v/>
      </c>
      <c r="J56" s="4">
        <f>H56-I56</f>
        <v/>
      </c>
      <c r="K56" s="4">
        <f>J56*(Assumptions!B15+Assumptions!B16)</f>
        <v/>
      </c>
      <c r="L56" s="4">
        <f>J56-K56</f>
        <v/>
      </c>
    </row>
    <row r="57">
      <c r="A57" s="3">
        <f>Revenue!A57</f>
        <v/>
      </c>
      <c r="B57" s="4">
        <f>Revenue!G57</f>
        <v/>
      </c>
      <c r="C57" s="4">
        <f>B57*Assumptions!B4</f>
        <v/>
      </c>
      <c r="D57" s="4">
        <f>B57*Assumptions!B5</f>
        <v/>
      </c>
      <c r="E57" s="4">
        <f>B57*Assumptions!B6</f>
        <v/>
      </c>
      <c r="F57" s="4">
        <f>B57*Assumptions!B7</f>
        <v/>
      </c>
      <c r="G57" s="4">
        <f>Assumptions!B3</f>
        <v/>
      </c>
      <c r="H57" s="4">
        <f>B57-SUM(C57:G57)</f>
        <v/>
      </c>
      <c r="I57" s="4">
        <f>Assumptions!B10/60</f>
        <v/>
      </c>
      <c r="J57" s="4">
        <f>H57-I57</f>
        <v/>
      </c>
      <c r="K57" s="4">
        <f>J57*(Assumptions!B15+Assumptions!B16)</f>
        <v/>
      </c>
      <c r="L57" s="4">
        <f>J57-K57</f>
        <v/>
      </c>
    </row>
    <row r="58">
      <c r="A58" s="3">
        <f>Revenue!A58</f>
        <v/>
      </c>
      <c r="B58" s="4">
        <f>Revenue!G58</f>
        <v/>
      </c>
      <c r="C58" s="4">
        <f>B58*Assumptions!B4</f>
        <v/>
      </c>
      <c r="D58" s="4">
        <f>B58*Assumptions!B5</f>
        <v/>
      </c>
      <c r="E58" s="4">
        <f>B58*Assumptions!B6</f>
        <v/>
      </c>
      <c r="F58" s="4">
        <f>B58*Assumptions!B7</f>
        <v/>
      </c>
      <c r="G58" s="4">
        <f>Assumptions!B3</f>
        <v/>
      </c>
      <c r="H58" s="4">
        <f>B58-SUM(C58:G58)</f>
        <v/>
      </c>
      <c r="I58" s="4">
        <f>Assumptions!B10/60</f>
        <v/>
      </c>
      <c r="J58" s="4">
        <f>H58-I58</f>
        <v/>
      </c>
      <c r="K58" s="4">
        <f>J58*(Assumptions!B15+Assumptions!B16)</f>
        <v/>
      </c>
      <c r="L58" s="4">
        <f>J58-K58</f>
        <v/>
      </c>
    </row>
    <row r="59">
      <c r="A59" s="3">
        <f>Revenue!A59</f>
        <v/>
      </c>
      <c r="B59" s="4">
        <f>Revenue!G59</f>
        <v/>
      </c>
      <c r="C59" s="4">
        <f>B59*Assumptions!B4</f>
        <v/>
      </c>
      <c r="D59" s="4">
        <f>B59*Assumptions!B5</f>
        <v/>
      </c>
      <c r="E59" s="4">
        <f>B59*Assumptions!B6</f>
        <v/>
      </c>
      <c r="F59" s="4">
        <f>B59*Assumptions!B7</f>
        <v/>
      </c>
      <c r="G59" s="4">
        <f>Assumptions!B3</f>
        <v/>
      </c>
      <c r="H59" s="4">
        <f>B59-SUM(C59:G59)</f>
        <v/>
      </c>
      <c r="I59" s="4">
        <f>Assumptions!B10/60</f>
        <v/>
      </c>
      <c r="J59" s="4">
        <f>H59-I59</f>
        <v/>
      </c>
      <c r="K59" s="4">
        <f>J59*(Assumptions!B15+Assumptions!B16)</f>
        <v/>
      </c>
      <c r="L59" s="4">
        <f>J59-K59</f>
        <v/>
      </c>
    </row>
    <row r="60">
      <c r="A60" s="3">
        <f>Revenue!A60</f>
        <v/>
      </c>
      <c r="B60" s="4">
        <f>Revenue!G60</f>
        <v/>
      </c>
      <c r="C60" s="4">
        <f>B60*Assumptions!B4</f>
        <v/>
      </c>
      <c r="D60" s="4">
        <f>B60*Assumptions!B5</f>
        <v/>
      </c>
      <c r="E60" s="4">
        <f>B60*Assumptions!B6</f>
        <v/>
      </c>
      <c r="F60" s="4">
        <f>B60*Assumptions!B7</f>
        <v/>
      </c>
      <c r="G60" s="4">
        <f>Assumptions!B3</f>
        <v/>
      </c>
      <c r="H60" s="4">
        <f>B60-SUM(C60:G60)</f>
        <v/>
      </c>
      <c r="I60" s="4">
        <f>Assumptions!B10/60</f>
        <v/>
      </c>
      <c r="J60" s="4">
        <f>H60-I60</f>
        <v/>
      </c>
      <c r="K60" s="4">
        <f>J60*(Assumptions!B15+Assumptions!B16)</f>
        <v/>
      </c>
      <c r="L60" s="4">
        <f>J60-K60</f>
        <v/>
      </c>
    </row>
    <row r="61">
      <c r="A61" s="3">
        <f>Revenue!A61</f>
        <v/>
      </c>
      <c r="B61" s="4">
        <f>Revenue!G61</f>
        <v/>
      </c>
      <c r="C61" s="4">
        <f>B61*Assumptions!B4</f>
        <v/>
      </c>
      <c r="D61" s="4">
        <f>B61*Assumptions!B5</f>
        <v/>
      </c>
      <c r="E61" s="4">
        <f>B61*Assumptions!B6</f>
        <v/>
      </c>
      <c r="F61" s="4">
        <f>B61*Assumptions!B7</f>
        <v/>
      </c>
      <c r="G61" s="4">
        <f>Assumptions!B3</f>
        <v/>
      </c>
      <c r="H61" s="4">
        <f>B61-SUM(C61:G61)</f>
        <v/>
      </c>
      <c r="I61" s="4">
        <f>Assumptions!B10/60</f>
        <v/>
      </c>
      <c r="J61" s="4">
        <f>H61-I61</f>
        <v/>
      </c>
      <c r="K61" s="4">
        <f>J61*(Assumptions!B15+Assumptions!B16)</f>
        <v/>
      </c>
      <c r="L61" s="4">
        <f>J61-K61</f>
        <v/>
      </c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9" t="inlineStr">
        <is>
          <t>Year 2024</t>
        </is>
      </c>
      <c r="B63" s="4">
        <f>SUM(B2:B13)</f>
        <v/>
      </c>
      <c r="C63" s="4">
        <f>SUM(C2:C13)</f>
        <v/>
      </c>
      <c r="D63" s="4">
        <f>SUM(D2:D13)</f>
        <v/>
      </c>
      <c r="E63" s="4">
        <f>SUM(E2:E13)</f>
        <v/>
      </c>
      <c r="F63" s="4">
        <f>SUM(F2:F13)</f>
        <v/>
      </c>
      <c r="G63" s="4">
        <f>SUM(G2:G13)</f>
        <v/>
      </c>
      <c r="H63" s="4">
        <f>SUM(H2:H13)</f>
        <v/>
      </c>
      <c r="I63" s="4">
        <f>SUM(I2:I13)</f>
        <v/>
      </c>
      <c r="J63" s="4">
        <f>SUM(J2:J13)</f>
        <v/>
      </c>
      <c r="K63" s="4">
        <f>SUM(K2:K13)</f>
        <v/>
      </c>
      <c r="L63" s="4">
        <f>SUM(L2:L13)</f>
        <v/>
      </c>
    </row>
    <row r="64">
      <c r="A64" s="9" t="inlineStr">
        <is>
          <t>Year 2025</t>
        </is>
      </c>
      <c r="B64" s="4">
        <f>SUM(B14:B25)</f>
        <v/>
      </c>
      <c r="C64" s="4">
        <f>SUM(C14:C25)</f>
        <v/>
      </c>
      <c r="D64" s="4">
        <f>SUM(D14:D25)</f>
        <v/>
      </c>
      <c r="E64" s="4">
        <f>SUM(E14:E25)</f>
        <v/>
      </c>
      <c r="F64" s="4">
        <f>SUM(F14:F25)</f>
        <v/>
      </c>
      <c r="G64" s="4">
        <f>SUM(G14:G25)</f>
        <v/>
      </c>
      <c r="H64" s="4">
        <f>SUM(H14:H25)</f>
        <v/>
      </c>
      <c r="I64" s="4">
        <f>SUM(I14:I25)</f>
        <v/>
      </c>
      <c r="J64" s="4">
        <f>SUM(J14:J25)</f>
        <v/>
      </c>
      <c r="K64" s="4">
        <f>SUM(K14:K25)</f>
        <v/>
      </c>
      <c r="L64" s="4">
        <f>SUM(L14:L25)</f>
        <v/>
      </c>
    </row>
    <row r="65">
      <c r="A65" s="9" t="inlineStr">
        <is>
          <t>Year 2026</t>
        </is>
      </c>
      <c r="B65" s="4">
        <f>SUM(B26:B37)</f>
        <v/>
      </c>
      <c r="C65" s="4">
        <f>SUM(C26:C37)</f>
        <v/>
      </c>
      <c r="D65" s="4">
        <f>SUM(D26:D37)</f>
        <v/>
      </c>
      <c r="E65" s="4">
        <f>SUM(E26:E37)</f>
        <v/>
      </c>
      <c r="F65" s="4">
        <f>SUM(F26:F37)</f>
        <v/>
      </c>
      <c r="G65" s="4">
        <f>SUM(G26:G37)</f>
        <v/>
      </c>
      <c r="H65" s="4">
        <f>SUM(H26:H37)</f>
        <v/>
      </c>
      <c r="I65" s="4">
        <f>SUM(I26:I37)</f>
        <v/>
      </c>
      <c r="J65" s="4">
        <f>SUM(J26:J37)</f>
        <v/>
      </c>
      <c r="K65" s="4">
        <f>SUM(K26:K37)</f>
        <v/>
      </c>
      <c r="L65" s="4">
        <f>SUM(L26:L37)</f>
        <v/>
      </c>
    </row>
    <row r="66">
      <c r="A66" s="9" t="inlineStr">
        <is>
          <t>Year 2027</t>
        </is>
      </c>
      <c r="B66" s="4">
        <f>SUM(B38:B49)</f>
        <v/>
      </c>
      <c r="C66" s="4">
        <f>SUM(C38:C49)</f>
        <v/>
      </c>
      <c r="D66" s="4">
        <f>SUM(D38:D49)</f>
        <v/>
      </c>
      <c r="E66" s="4">
        <f>SUM(E38:E49)</f>
        <v/>
      </c>
      <c r="F66" s="4">
        <f>SUM(F38:F49)</f>
        <v/>
      </c>
      <c r="G66" s="4">
        <f>SUM(G38:G49)</f>
        <v/>
      </c>
      <c r="H66" s="4">
        <f>SUM(H38:H49)</f>
        <v/>
      </c>
      <c r="I66" s="4">
        <f>SUM(I38:I49)</f>
        <v/>
      </c>
      <c r="J66" s="4">
        <f>SUM(J38:J49)</f>
        <v/>
      </c>
      <c r="K66" s="4">
        <f>SUM(K38:K49)</f>
        <v/>
      </c>
      <c r="L66" s="4">
        <f>SUM(L38:L49)</f>
        <v/>
      </c>
    </row>
    <row r="67">
      <c r="A67" s="9" t="inlineStr">
        <is>
          <t>Year 2028</t>
        </is>
      </c>
      <c r="B67" s="4">
        <f>SUM(B50:B61)</f>
        <v/>
      </c>
      <c r="C67" s="4">
        <f>SUM(C50:C61)</f>
        <v/>
      </c>
      <c r="D67" s="4">
        <f>SUM(D50:D61)</f>
        <v/>
      </c>
      <c r="E67" s="4">
        <f>SUM(E50:E61)</f>
        <v/>
      </c>
      <c r="F67" s="4">
        <f>SUM(F50:F61)</f>
        <v/>
      </c>
      <c r="G67" s="4">
        <f>SUM(G50:G61)</f>
        <v/>
      </c>
      <c r="H67" s="4">
        <f>SUM(H50:H61)</f>
        <v/>
      </c>
      <c r="I67" s="4">
        <f>SUM(I50:I61)</f>
        <v/>
      </c>
      <c r="J67" s="4">
        <f>SUM(J50:J61)</f>
        <v/>
      </c>
      <c r="K67" s="4">
        <f>SUM(K50:K61)</f>
        <v/>
      </c>
      <c r="L67" s="4">
        <f>SUM(L50:L61)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25" customWidth="1" min="4" max="4"/>
    <col width="15" customWidth="1" min="5" max="5"/>
    <col width="19" customWidth="1" min="6" max="6"/>
    <col width="24" customWidth="1" min="7" max="7"/>
    <col width="15" customWidth="1" min="8" max="8"/>
    <col width="15" customWidth="1" min="9" max="9"/>
    <col width="12" customWidth="1" min="10" max="10"/>
    <col width="24" customWidth="1" min="11" max="11"/>
  </cols>
  <sheetData>
    <row r="1">
      <c r="A1" s="2" t="inlineStr">
        <is>
          <t>Year</t>
        </is>
      </c>
      <c r="B1" s="2" t="inlineStr">
        <is>
          <t>EBITDA</t>
        </is>
      </c>
      <c r="C1" s="2" t="inlineStr">
        <is>
          <t>Taxes</t>
        </is>
      </c>
      <c r="D1" s="2" t="inlineStr">
        <is>
          <t>Delta NWC</t>
        </is>
      </c>
      <c r="E1" s="2" t="inlineStr">
        <is>
          <t>Operating CF</t>
        </is>
      </c>
      <c r="F1" s="2" t="inlineStr">
        <is>
          <t>Capex Initial</t>
        </is>
      </c>
      <c r="G1" s="2" t="inlineStr">
        <is>
          <t>Maintenance Capex</t>
        </is>
      </c>
      <c r="H1" s="2" t="inlineStr">
        <is>
          <t>Investing CF</t>
        </is>
      </c>
      <c r="I1" s="2" t="inlineStr">
        <is>
          <t>Financing CF</t>
        </is>
      </c>
      <c r="J1" s="2" t="inlineStr">
        <is>
          <t>FCF</t>
        </is>
      </c>
      <c r="K1" s="2" t="inlineStr">
        <is>
          <t>Cumulative FCF</t>
        </is>
      </c>
    </row>
    <row r="2">
      <c r="A2" s="3" t="n">
        <v>2024</v>
      </c>
      <c r="B2" s="4">
        <f>PnL!H63</f>
        <v/>
      </c>
      <c r="C2" s="4">
        <f>PnL!K63</f>
        <v/>
      </c>
      <c r="D2" s="4">
        <f>0.1*PnL!B63</f>
        <v/>
      </c>
      <c r="E2" s="4">
        <f>B2-C2-D2</f>
        <v/>
      </c>
      <c r="F2" s="4">
        <f>Assumptions!B10</f>
        <v/>
      </c>
      <c r="G2" s="4">
        <f>Assumptions!B10*0.02</f>
        <v/>
      </c>
      <c r="H2" s="4">
        <f>-F2-G2</f>
        <v/>
      </c>
      <c r="I2" s="4" t="n">
        <v>0</v>
      </c>
      <c r="J2" s="4">
        <f>E2+H2+I2</f>
        <v/>
      </c>
      <c r="K2" s="4">
        <f>IF(A2=2024,J2,J2+K1)</f>
        <v/>
      </c>
    </row>
    <row r="3">
      <c r="A3" s="3" t="n">
        <v>2025</v>
      </c>
      <c r="B3" s="4">
        <f>PnL!H64</f>
        <v/>
      </c>
      <c r="C3" s="4">
        <f>PnL!K64</f>
        <v/>
      </c>
      <c r="D3" s="4">
        <f>0.1*(PnL!B64-PnL!B63)</f>
        <v/>
      </c>
      <c r="E3" s="4">
        <f>B3-C3-D3</f>
        <v/>
      </c>
      <c r="F3" s="4">
        <f>0</f>
        <v/>
      </c>
      <c r="G3" s="4">
        <f>Assumptions!B10*0.02</f>
        <v/>
      </c>
      <c r="H3" s="4">
        <f>-F3-G3</f>
        <v/>
      </c>
      <c r="I3" s="4" t="n">
        <v>0</v>
      </c>
      <c r="J3" s="4">
        <f>E3+H3+I3</f>
        <v/>
      </c>
      <c r="K3" s="4">
        <f>IF(A3=2024,J3,J3+K2)</f>
        <v/>
      </c>
    </row>
    <row r="4">
      <c r="A4" s="3" t="n">
        <v>2026</v>
      </c>
      <c r="B4" s="4">
        <f>PnL!H65</f>
        <v/>
      </c>
      <c r="C4" s="4">
        <f>PnL!K65</f>
        <v/>
      </c>
      <c r="D4" s="4">
        <f>0.1*(PnL!B65-PnL!B64)</f>
        <v/>
      </c>
      <c r="E4" s="4">
        <f>B4-C4-D4</f>
        <v/>
      </c>
      <c r="F4" s="4">
        <f>0</f>
        <v/>
      </c>
      <c r="G4" s="4">
        <f>Assumptions!B10*0.02</f>
        <v/>
      </c>
      <c r="H4" s="4">
        <f>-F4-G4</f>
        <v/>
      </c>
      <c r="I4" s="4" t="n">
        <v>0</v>
      </c>
      <c r="J4" s="4">
        <f>E4+H4+I4</f>
        <v/>
      </c>
      <c r="K4" s="4">
        <f>IF(A4=2024,J4,J4+K3)</f>
        <v/>
      </c>
    </row>
    <row r="5">
      <c r="A5" s="3" t="n">
        <v>2027</v>
      </c>
      <c r="B5" s="4">
        <f>PnL!H66</f>
        <v/>
      </c>
      <c r="C5" s="4">
        <f>PnL!K66</f>
        <v/>
      </c>
      <c r="D5" s="4">
        <f>0.1*(PnL!B66-PnL!B65)</f>
        <v/>
      </c>
      <c r="E5" s="4">
        <f>B5-C5-D5</f>
        <v/>
      </c>
      <c r="F5" s="4">
        <f>0</f>
        <v/>
      </c>
      <c r="G5" s="4">
        <f>Assumptions!B10*0.02</f>
        <v/>
      </c>
      <c r="H5" s="4">
        <f>-F5-G5</f>
        <v/>
      </c>
      <c r="I5" s="4" t="n">
        <v>0</v>
      </c>
      <c r="J5" s="4">
        <f>E5+H5+I5</f>
        <v/>
      </c>
      <c r="K5" s="4">
        <f>IF(A5=2024,J5,J5+K4)</f>
        <v/>
      </c>
    </row>
    <row r="6">
      <c r="A6" s="3" t="n">
        <v>2028</v>
      </c>
      <c r="B6" s="4">
        <f>PnL!H67</f>
        <v/>
      </c>
      <c r="C6" s="4">
        <f>PnL!K67</f>
        <v/>
      </c>
      <c r="D6" s="4">
        <f>0.1*(PnL!B67-PnL!B66)</f>
        <v/>
      </c>
      <c r="E6" s="4">
        <f>B6-C6-D6</f>
        <v/>
      </c>
      <c r="F6" s="4">
        <f>0</f>
        <v/>
      </c>
      <c r="G6" s="4">
        <f>Assumptions!B10*0.02</f>
        <v/>
      </c>
      <c r="H6" s="4">
        <f>-F6-G6</f>
        <v/>
      </c>
      <c r="I6" s="4" t="n">
        <v>0</v>
      </c>
      <c r="J6" s="4">
        <f>E6+H6+I6</f>
        <v/>
      </c>
      <c r="K6" s="4">
        <f>IF(A6=2024,J6,J6+K5)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42" customWidth="1" min="4" max="4"/>
    <col width="22" customWidth="1" min="5" max="5"/>
    <col width="29" customWidth="1" min="6" max="6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Fixed Costs</t>
        </is>
      </c>
      <c r="D1" s="2" t="inlineStr">
        <is>
          <t>Variable Costs</t>
        </is>
      </c>
      <c r="E1" s="2" t="inlineStr">
        <is>
          <t>Contribution Margin</t>
        </is>
      </c>
      <c r="F1" s="2" t="inlineStr">
        <is>
          <t>Break-Even Revenue</t>
        </is>
      </c>
    </row>
    <row r="2">
      <c r="A2" s="3">
        <f>Revenue!A2</f>
        <v/>
      </c>
      <c r="B2" s="4">
        <f>Revenue!G2</f>
        <v/>
      </c>
      <c r="C2" s="4">
        <f>Assumptions!B3+Personnel!D5+Assumptions!B10/60</f>
        <v/>
      </c>
      <c r="D2" s="4">
        <f>B2*(Assumptions!B4+Assumptions!B5+Assumptions!B6+Assumptions!B7)</f>
        <v/>
      </c>
      <c r="E2" s="4">
        <f>B2-D2</f>
        <v/>
      </c>
      <c r="F2" s="4">
        <f>IF(B2=0,0,C2/(E2/B2))</f>
        <v/>
      </c>
    </row>
    <row r="3">
      <c r="A3" s="3">
        <f>Revenue!A3</f>
        <v/>
      </c>
      <c r="B3" s="4">
        <f>Revenue!G3</f>
        <v/>
      </c>
      <c r="C3" s="4">
        <f>Assumptions!B3+Personnel!D5+Assumptions!B10/60</f>
        <v/>
      </c>
      <c r="D3" s="4">
        <f>B3*(Assumptions!B4+Assumptions!B5+Assumptions!B6+Assumptions!B7)</f>
        <v/>
      </c>
      <c r="E3" s="4">
        <f>B3-D3</f>
        <v/>
      </c>
      <c r="F3" s="4">
        <f>IF(B3=0,0,C3/(E3/B3))</f>
        <v/>
      </c>
    </row>
    <row r="4">
      <c r="A4" s="3">
        <f>Revenue!A4</f>
        <v/>
      </c>
      <c r="B4" s="4">
        <f>Revenue!G4</f>
        <v/>
      </c>
      <c r="C4" s="4">
        <f>Assumptions!B3+Personnel!D5+Assumptions!B10/60</f>
        <v/>
      </c>
      <c r="D4" s="4">
        <f>B4*(Assumptions!B4+Assumptions!B5+Assumptions!B6+Assumptions!B7)</f>
        <v/>
      </c>
      <c r="E4" s="4">
        <f>B4-D4</f>
        <v/>
      </c>
      <c r="F4" s="4">
        <f>IF(B4=0,0,C4/(E4/B4))</f>
        <v/>
      </c>
    </row>
    <row r="5">
      <c r="A5" s="3">
        <f>Revenue!A5</f>
        <v/>
      </c>
      <c r="B5" s="4">
        <f>Revenue!G5</f>
        <v/>
      </c>
      <c r="C5" s="4">
        <f>Assumptions!B3+Personnel!D5+Assumptions!B10/60</f>
        <v/>
      </c>
      <c r="D5" s="4">
        <f>B5*(Assumptions!B4+Assumptions!B5+Assumptions!B6+Assumptions!B7)</f>
        <v/>
      </c>
      <c r="E5" s="4">
        <f>B5-D5</f>
        <v/>
      </c>
      <c r="F5" s="4">
        <f>IF(B5=0,0,C5/(E5/B5))</f>
        <v/>
      </c>
    </row>
    <row r="6">
      <c r="A6" s="3">
        <f>Revenue!A6</f>
        <v/>
      </c>
      <c r="B6" s="4">
        <f>Revenue!G6</f>
        <v/>
      </c>
      <c r="C6" s="4">
        <f>Assumptions!B3+Personnel!D5+Assumptions!B10/60</f>
        <v/>
      </c>
      <c r="D6" s="4">
        <f>B6*(Assumptions!B4+Assumptions!B5+Assumptions!B6+Assumptions!B7)</f>
        <v/>
      </c>
      <c r="E6" s="4">
        <f>B6-D6</f>
        <v/>
      </c>
      <c r="F6" s="4">
        <f>IF(B6=0,0,C6/(E6/B6))</f>
        <v/>
      </c>
    </row>
    <row r="7">
      <c r="A7" s="3">
        <f>Revenue!A7</f>
        <v/>
      </c>
      <c r="B7" s="4">
        <f>Revenue!G7</f>
        <v/>
      </c>
      <c r="C7" s="4">
        <f>Assumptions!B3+Personnel!D5+Assumptions!B10/60</f>
        <v/>
      </c>
      <c r="D7" s="4">
        <f>B7*(Assumptions!B4+Assumptions!B5+Assumptions!B6+Assumptions!B7)</f>
        <v/>
      </c>
      <c r="E7" s="4">
        <f>B7-D7</f>
        <v/>
      </c>
      <c r="F7" s="4">
        <f>IF(B7=0,0,C7/(E7/B7))</f>
        <v/>
      </c>
    </row>
    <row r="8">
      <c r="A8" s="3">
        <f>Revenue!A8</f>
        <v/>
      </c>
      <c r="B8" s="4">
        <f>Revenue!G8</f>
        <v/>
      </c>
      <c r="C8" s="4">
        <f>Assumptions!B3+Personnel!D5+Assumptions!B10/60</f>
        <v/>
      </c>
      <c r="D8" s="4">
        <f>B8*(Assumptions!B4+Assumptions!B5+Assumptions!B6+Assumptions!B7)</f>
        <v/>
      </c>
      <c r="E8" s="4">
        <f>B8-D8</f>
        <v/>
      </c>
      <c r="F8" s="4">
        <f>IF(B8=0,0,C8/(E8/B8))</f>
        <v/>
      </c>
    </row>
    <row r="9">
      <c r="A9" s="3">
        <f>Revenue!A9</f>
        <v/>
      </c>
      <c r="B9" s="4">
        <f>Revenue!G9</f>
        <v/>
      </c>
      <c r="C9" s="4">
        <f>Assumptions!B3+Personnel!D5+Assumptions!B10/60</f>
        <v/>
      </c>
      <c r="D9" s="4">
        <f>B9*(Assumptions!B4+Assumptions!B5+Assumptions!B6+Assumptions!B7)</f>
        <v/>
      </c>
      <c r="E9" s="4">
        <f>B9-D9</f>
        <v/>
      </c>
      <c r="F9" s="4">
        <f>IF(B9=0,0,C9/(E9/B9))</f>
        <v/>
      </c>
    </row>
    <row r="10">
      <c r="A10" s="3">
        <f>Revenue!A10</f>
        <v/>
      </c>
      <c r="B10" s="4">
        <f>Revenue!G10</f>
        <v/>
      </c>
      <c r="C10" s="4">
        <f>Assumptions!B3+Personnel!D5+Assumptions!B10/60</f>
        <v/>
      </c>
      <c r="D10" s="4">
        <f>B10*(Assumptions!B4+Assumptions!B5+Assumptions!B6+Assumptions!B7)</f>
        <v/>
      </c>
      <c r="E10" s="4">
        <f>B10-D10</f>
        <v/>
      </c>
      <c r="F10" s="4">
        <f>IF(B10=0,0,C10/(E10/B10))</f>
        <v/>
      </c>
    </row>
    <row r="11">
      <c r="A11" s="3">
        <f>Revenue!A11</f>
        <v/>
      </c>
      <c r="B11" s="4">
        <f>Revenue!G11</f>
        <v/>
      </c>
      <c r="C11" s="4">
        <f>Assumptions!B3+Personnel!D5+Assumptions!B10/60</f>
        <v/>
      </c>
      <c r="D11" s="4">
        <f>B11*(Assumptions!B4+Assumptions!B5+Assumptions!B6+Assumptions!B7)</f>
        <v/>
      </c>
      <c r="E11" s="4">
        <f>B11-D11</f>
        <v/>
      </c>
      <c r="F11" s="4">
        <f>IF(B11=0,0,C11/(E11/B11))</f>
        <v/>
      </c>
    </row>
    <row r="12">
      <c r="A12" s="3">
        <f>Revenue!A12</f>
        <v/>
      </c>
      <c r="B12" s="4">
        <f>Revenue!G12</f>
        <v/>
      </c>
      <c r="C12" s="4">
        <f>Assumptions!B3+Personnel!D5+Assumptions!B10/60</f>
        <v/>
      </c>
      <c r="D12" s="4">
        <f>B12*(Assumptions!B4+Assumptions!B5+Assumptions!B6+Assumptions!B7)</f>
        <v/>
      </c>
      <c r="E12" s="4">
        <f>B12-D12</f>
        <v/>
      </c>
      <c r="F12" s="4">
        <f>IF(B12=0,0,C12/(E12/B12))</f>
        <v/>
      </c>
    </row>
    <row r="13">
      <c r="A13" s="3">
        <f>Revenue!A13</f>
        <v/>
      </c>
      <c r="B13" s="4">
        <f>Revenue!G13</f>
        <v/>
      </c>
      <c r="C13" s="4">
        <f>Assumptions!B3+Personnel!D5+Assumptions!B10/60</f>
        <v/>
      </c>
      <c r="D13" s="4">
        <f>B13*(Assumptions!B4+Assumptions!B5+Assumptions!B6+Assumptions!B7)</f>
        <v/>
      </c>
      <c r="E13" s="4">
        <f>B13-D13</f>
        <v/>
      </c>
      <c r="F13" s="4">
        <f>IF(B13=0,0,C13/(E13/B13))</f>
        <v/>
      </c>
    </row>
    <row r="14">
      <c r="A14" s="3">
        <f>Revenue!A14</f>
        <v/>
      </c>
      <c r="B14" s="4">
        <f>Revenue!G14</f>
        <v/>
      </c>
      <c r="C14" s="4">
        <f>Assumptions!B3+Personnel!D5+Assumptions!B10/60</f>
        <v/>
      </c>
      <c r="D14" s="4">
        <f>B14*(Assumptions!B4+Assumptions!B5+Assumptions!B6+Assumptions!B7)</f>
        <v/>
      </c>
      <c r="E14" s="4">
        <f>B14-D14</f>
        <v/>
      </c>
      <c r="F14" s="4">
        <f>IF(B14=0,0,C14/(E14/B14))</f>
        <v/>
      </c>
    </row>
    <row r="15">
      <c r="A15" s="3">
        <f>Revenue!A15</f>
        <v/>
      </c>
      <c r="B15" s="4">
        <f>Revenue!G15</f>
        <v/>
      </c>
      <c r="C15" s="4">
        <f>Assumptions!B3+Personnel!D5+Assumptions!B10/60</f>
        <v/>
      </c>
      <c r="D15" s="4">
        <f>B15*(Assumptions!B4+Assumptions!B5+Assumptions!B6+Assumptions!B7)</f>
        <v/>
      </c>
      <c r="E15" s="4">
        <f>B15-D15</f>
        <v/>
      </c>
      <c r="F15" s="4">
        <f>IF(B15=0,0,C15/(E15/B15))</f>
        <v/>
      </c>
    </row>
    <row r="16">
      <c r="A16" s="3">
        <f>Revenue!A16</f>
        <v/>
      </c>
      <c r="B16" s="4">
        <f>Revenue!G16</f>
        <v/>
      </c>
      <c r="C16" s="4">
        <f>Assumptions!B3+Personnel!D5+Assumptions!B10/60</f>
        <v/>
      </c>
      <c r="D16" s="4">
        <f>B16*(Assumptions!B4+Assumptions!B5+Assumptions!B6+Assumptions!B7)</f>
        <v/>
      </c>
      <c r="E16" s="4">
        <f>B16-D16</f>
        <v/>
      </c>
      <c r="F16" s="4">
        <f>IF(B16=0,0,C16/(E16/B16))</f>
        <v/>
      </c>
    </row>
    <row r="17">
      <c r="A17" s="3">
        <f>Revenue!A17</f>
        <v/>
      </c>
      <c r="B17" s="4">
        <f>Revenue!G17</f>
        <v/>
      </c>
      <c r="C17" s="4">
        <f>Assumptions!B3+Personnel!D5+Assumptions!B10/60</f>
        <v/>
      </c>
      <c r="D17" s="4">
        <f>B17*(Assumptions!B4+Assumptions!B5+Assumptions!B6+Assumptions!B7)</f>
        <v/>
      </c>
      <c r="E17" s="4">
        <f>B17-D17</f>
        <v/>
      </c>
      <c r="F17" s="4">
        <f>IF(B17=0,0,C17/(E17/B17))</f>
        <v/>
      </c>
    </row>
    <row r="18">
      <c r="A18" s="3">
        <f>Revenue!A18</f>
        <v/>
      </c>
      <c r="B18" s="4">
        <f>Revenue!G18</f>
        <v/>
      </c>
      <c r="C18" s="4">
        <f>Assumptions!B3+Personnel!D5+Assumptions!B10/60</f>
        <v/>
      </c>
      <c r="D18" s="4">
        <f>B18*(Assumptions!B4+Assumptions!B5+Assumptions!B6+Assumptions!B7)</f>
        <v/>
      </c>
      <c r="E18" s="4">
        <f>B18-D18</f>
        <v/>
      </c>
      <c r="F18" s="4">
        <f>IF(B18=0,0,C18/(E18/B18))</f>
        <v/>
      </c>
    </row>
    <row r="19">
      <c r="A19" s="3">
        <f>Revenue!A19</f>
        <v/>
      </c>
      <c r="B19" s="4">
        <f>Revenue!G19</f>
        <v/>
      </c>
      <c r="C19" s="4">
        <f>Assumptions!B3+Personnel!D5+Assumptions!B10/60</f>
        <v/>
      </c>
      <c r="D19" s="4">
        <f>B19*(Assumptions!B4+Assumptions!B5+Assumptions!B6+Assumptions!B7)</f>
        <v/>
      </c>
      <c r="E19" s="4">
        <f>B19-D19</f>
        <v/>
      </c>
      <c r="F19" s="4">
        <f>IF(B19=0,0,C19/(E19/B19))</f>
        <v/>
      </c>
    </row>
    <row r="20">
      <c r="A20" s="3">
        <f>Revenue!A20</f>
        <v/>
      </c>
      <c r="B20" s="4">
        <f>Revenue!G20</f>
        <v/>
      </c>
      <c r="C20" s="4">
        <f>Assumptions!B3+Personnel!D5+Assumptions!B10/60</f>
        <v/>
      </c>
      <c r="D20" s="4">
        <f>B20*(Assumptions!B4+Assumptions!B5+Assumptions!B6+Assumptions!B7)</f>
        <v/>
      </c>
      <c r="E20" s="4">
        <f>B20-D20</f>
        <v/>
      </c>
      <c r="F20" s="4">
        <f>IF(B20=0,0,C20/(E20/B20))</f>
        <v/>
      </c>
    </row>
    <row r="21">
      <c r="A21" s="3">
        <f>Revenue!A21</f>
        <v/>
      </c>
      <c r="B21" s="4">
        <f>Revenue!G21</f>
        <v/>
      </c>
      <c r="C21" s="4">
        <f>Assumptions!B3+Personnel!D5+Assumptions!B10/60</f>
        <v/>
      </c>
      <c r="D21" s="4">
        <f>B21*(Assumptions!B4+Assumptions!B5+Assumptions!B6+Assumptions!B7)</f>
        <v/>
      </c>
      <c r="E21" s="4">
        <f>B21-D21</f>
        <v/>
      </c>
      <c r="F21" s="4">
        <f>IF(B21=0,0,C21/(E21/B21))</f>
        <v/>
      </c>
    </row>
    <row r="22">
      <c r="A22" s="3">
        <f>Revenue!A22</f>
        <v/>
      </c>
      <c r="B22" s="4">
        <f>Revenue!G22</f>
        <v/>
      </c>
      <c r="C22" s="4">
        <f>Assumptions!B3+Personnel!D5+Assumptions!B10/60</f>
        <v/>
      </c>
      <c r="D22" s="4">
        <f>B22*(Assumptions!B4+Assumptions!B5+Assumptions!B6+Assumptions!B7)</f>
        <v/>
      </c>
      <c r="E22" s="4">
        <f>B22-D22</f>
        <v/>
      </c>
      <c r="F22" s="4">
        <f>IF(B22=0,0,C22/(E22/B22))</f>
        <v/>
      </c>
    </row>
    <row r="23">
      <c r="A23" s="3">
        <f>Revenue!A23</f>
        <v/>
      </c>
      <c r="B23" s="4">
        <f>Revenue!G23</f>
        <v/>
      </c>
      <c r="C23" s="4">
        <f>Assumptions!B3+Personnel!D5+Assumptions!B10/60</f>
        <v/>
      </c>
      <c r="D23" s="4">
        <f>B23*(Assumptions!B4+Assumptions!B5+Assumptions!B6+Assumptions!B7)</f>
        <v/>
      </c>
      <c r="E23" s="4">
        <f>B23-D23</f>
        <v/>
      </c>
      <c r="F23" s="4">
        <f>IF(B23=0,0,C23/(E23/B23))</f>
        <v/>
      </c>
    </row>
    <row r="24">
      <c r="A24" s="3">
        <f>Revenue!A24</f>
        <v/>
      </c>
      <c r="B24" s="4">
        <f>Revenue!G24</f>
        <v/>
      </c>
      <c r="C24" s="4">
        <f>Assumptions!B3+Personnel!D5+Assumptions!B10/60</f>
        <v/>
      </c>
      <c r="D24" s="4">
        <f>B24*(Assumptions!B4+Assumptions!B5+Assumptions!B6+Assumptions!B7)</f>
        <v/>
      </c>
      <c r="E24" s="4">
        <f>B24-D24</f>
        <v/>
      </c>
      <c r="F24" s="4">
        <f>IF(B24=0,0,C24/(E24/B24))</f>
        <v/>
      </c>
    </row>
    <row r="25">
      <c r="A25" s="3">
        <f>Revenue!A25</f>
        <v/>
      </c>
      <c r="B25" s="4">
        <f>Revenue!G25</f>
        <v/>
      </c>
      <c r="C25" s="4">
        <f>Assumptions!B3+Personnel!D5+Assumptions!B10/60</f>
        <v/>
      </c>
      <c r="D25" s="4">
        <f>B25*(Assumptions!B4+Assumptions!B5+Assumptions!B6+Assumptions!B7)</f>
        <v/>
      </c>
      <c r="E25" s="4">
        <f>B25-D25</f>
        <v/>
      </c>
      <c r="F25" s="4">
        <f>IF(B25=0,0,C25/(E25/B25))</f>
        <v/>
      </c>
    </row>
    <row r="26">
      <c r="A26" s="3">
        <f>Revenue!A26</f>
        <v/>
      </c>
      <c r="B26" s="4">
        <f>Revenue!G26</f>
        <v/>
      </c>
      <c r="C26" s="4">
        <f>Assumptions!B3+Personnel!D5+Assumptions!B10/60</f>
        <v/>
      </c>
      <c r="D26" s="4">
        <f>B26*(Assumptions!B4+Assumptions!B5+Assumptions!B6+Assumptions!B7)</f>
        <v/>
      </c>
      <c r="E26" s="4">
        <f>B26-D26</f>
        <v/>
      </c>
      <c r="F26" s="4">
        <f>IF(B26=0,0,C26/(E26/B26))</f>
        <v/>
      </c>
    </row>
    <row r="27">
      <c r="A27" s="3">
        <f>Revenue!A27</f>
        <v/>
      </c>
      <c r="B27" s="4">
        <f>Revenue!G27</f>
        <v/>
      </c>
      <c r="C27" s="4">
        <f>Assumptions!B3+Personnel!D5+Assumptions!B10/60</f>
        <v/>
      </c>
      <c r="D27" s="4">
        <f>B27*(Assumptions!B4+Assumptions!B5+Assumptions!B6+Assumptions!B7)</f>
        <v/>
      </c>
      <c r="E27" s="4">
        <f>B27-D27</f>
        <v/>
      </c>
      <c r="F27" s="4">
        <f>IF(B27=0,0,C27/(E27/B27))</f>
        <v/>
      </c>
    </row>
    <row r="28">
      <c r="A28" s="3">
        <f>Revenue!A28</f>
        <v/>
      </c>
      <c r="B28" s="4">
        <f>Revenue!G28</f>
        <v/>
      </c>
      <c r="C28" s="4">
        <f>Assumptions!B3+Personnel!D5+Assumptions!B10/60</f>
        <v/>
      </c>
      <c r="D28" s="4">
        <f>B28*(Assumptions!B4+Assumptions!B5+Assumptions!B6+Assumptions!B7)</f>
        <v/>
      </c>
      <c r="E28" s="4">
        <f>B28-D28</f>
        <v/>
      </c>
      <c r="F28" s="4">
        <f>IF(B28=0,0,C28/(E28/B28))</f>
        <v/>
      </c>
    </row>
    <row r="29">
      <c r="A29" s="3">
        <f>Revenue!A29</f>
        <v/>
      </c>
      <c r="B29" s="4">
        <f>Revenue!G29</f>
        <v/>
      </c>
      <c r="C29" s="4">
        <f>Assumptions!B3+Personnel!D5+Assumptions!B10/60</f>
        <v/>
      </c>
      <c r="D29" s="4">
        <f>B29*(Assumptions!B4+Assumptions!B5+Assumptions!B6+Assumptions!B7)</f>
        <v/>
      </c>
      <c r="E29" s="4">
        <f>B29-D29</f>
        <v/>
      </c>
      <c r="F29" s="4">
        <f>IF(B29=0,0,C29/(E29/B29))</f>
        <v/>
      </c>
    </row>
    <row r="30">
      <c r="A30" s="3">
        <f>Revenue!A30</f>
        <v/>
      </c>
      <c r="B30" s="4">
        <f>Revenue!G30</f>
        <v/>
      </c>
      <c r="C30" s="4">
        <f>Assumptions!B3+Personnel!D5+Assumptions!B10/60</f>
        <v/>
      </c>
      <c r="D30" s="4">
        <f>B30*(Assumptions!B4+Assumptions!B5+Assumptions!B6+Assumptions!B7)</f>
        <v/>
      </c>
      <c r="E30" s="4">
        <f>B30-D30</f>
        <v/>
      </c>
      <c r="F30" s="4">
        <f>IF(B30=0,0,C30/(E30/B30))</f>
        <v/>
      </c>
    </row>
    <row r="31">
      <c r="A31" s="3">
        <f>Revenue!A31</f>
        <v/>
      </c>
      <c r="B31" s="4">
        <f>Revenue!G31</f>
        <v/>
      </c>
      <c r="C31" s="4">
        <f>Assumptions!B3+Personnel!D5+Assumptions!B10/60</f>
        <v/>
      </c>
      <c r="D31" s="4">
        <f>B31*(Assumptions!B4+Assumptions!B5+Assumptions!B6+Assumptions!B7)</f>
        <v/>
      </c>
      <c r="E31" s="4">
        <f>B31-D31</f>
        <v/>
      </c>
      <c r="F31" s="4">
        <f>IF(B31=0,0,C31/(E31/B31))</f>
        <v/>
      </c>
    </row>
    <row r="32">
      <c r="A32" s="3">
        <f>Revenue!A32</f>
        <v/>
      </c>
      <c r="B32" s="4">
        <f>Revenue!G32</f>
        <v/>
      </c>
      <c r="C32" s="4">
        <f>Assumptions!B3+Personnel!D5+Assumptions!B10/60</f>
        <v/>
      </c>
      <c r="D32" s="4">
        <f>B32*(Assumptions!B4+Assumptions!B5+Assumptions!B6+Assumptions!B7)</f>
        <v/>
      </c>
      <c r="E32" s="4">
        <f>B32-D32</f>
        <v/>
      </c>
      <c r="F32" s="4">
        <f>IF(B32=0,0,C32/(E32/B32))</f>
        <v/>
      </c>
    </row>
    <row r="33">
      <c r="A33" s="3">
        <f>Revenue!A33</f>
        <v/>
      </c>
      <c r="B33" s="4">
        <f>Revenue!G33</f>
        <v/>
      </c>
      <c r="C33" s="4">
        <f>Assumptions!B3+Personnel!D5+Assumptions!B10/60</f>
        <v/>
      </c>
      <c r="D33" s="4">
        <f>B33*(Assumptions!B4+Assumptions!B5+Assumptions!B6+Assumptions!B7)</f>
        <v/>
      </c>
      <c r="E33" s="4">
        <f>B33-D33</f>
        <v/>
      </c>
      <c r="F33" s="4">
        <f>IF(B33=0,0,C33/(E33/B33))</f>
        <v/>
      </c>
    </row>
    <row r="34">
      <c r="A34" s="3">
        <f>Revenue!A34</f>
        <v/>
      </c>
      <c r="B34" s="4">
        <f>Revenue!G34</f>
        <v/>
      </c>
      <c r="C34" s="4">
        <f>Assumptions!B3+Personnel!D5+Assumptions!B10/60</f>
        <v/>
      </c>
      <c r="D34" s="4">
        <f>B34*(Assumptions!B4+Assumptions!B5+Assumptions!B6+Assumptions!B7)</f>
        <v/>
      </c>
      <c r="E34" s="4">
        <f>B34-D34</f>
        <v/>
      </c>
      <c r="F34" s="4">
        <f>IF(B34=0,0,C34/(E34/B34))</f>
        <v/>
      </c>
    </row>
    <row r="35">
      <c r="A35" s="3">
        <f>Revenue!A35</f>
        <v/>
      </c>
      <c r="B35" s="4">
        <f>Revenue!G35</f>
        <v/>
      </c>
      <c r="C35" s="4">
        <f>Assumptions!B3+Personnel!D5+Assumptions!B10/60</f>
        <v/>
      </c>
      <c r="D35" s="4">
        <f>B35*(Assumptions!B4+Assumptions!B5+Assumptions!B6+Assumptions!B7)</f>
        <v/>
      </c>
      <c r="E35" s="4">
        <f>B35-D35</f>
        <v/>
      </c>
      <c r="F35" s="4">
        <f>IF(B35=0,0,C35/(E35/B35))</f>
        <v/>
      </c>
    </row>
    <row r="36">
      <c r="A36" s="3">
        <f>Revenue!A36</f>
        <v/>
      </c>
      <c r="B36" s="4">
        <f>Revenue!G36</f>
        <v/>
      </c>
      <c r="C36" s="4">
        <f>Assumptions!B3+Personnel!D5+Assumptions!B10/60</f>
        <v/>
      </c>
      <c r="D36" s="4">
        <f>B36*(Assumptions!B4+Assumptions!B5+Assumptions!B6+Assumptions!B7)</f>
        <v/>
      </c>
      <c r="E36" s="4">
        <f>B36-D36</f>
        <v/>
      </c>
      <c r="F36" s="4">
        <f>IF(B36=0,0,C36/(E36/B36))</f>
        <v/>
      </c>
    </row>
    <row r="37">
      <c r="A37" s="3">
        <f>Revenue!A37</f>
        <v/>
      </c>
      <c r="B37" s="4">
        <f>Revenue!G37</f>
        <v/>
      </c>
      <c r="C37" s="4">
        <f>Assumptions!B3+Personnel!D5+Assumptions!B10/60</f>
        <v/>
      </c>
      <c r="D37" s="4">
        <f>B37*(Assumptions!B4+Assumptions!B5+Assumptions!B6+Assumptions!B7)</f>
        <v/>
      </c>
      <c r="E37" s="4">
        <f>B37-D37</f>
        <v/>
      </c>
      <c r="F37" s="4">
        <f>IF(B37=0,0,C37/(E37/B37))</f>
        <v/>
      </c>
    </row>
    <row r="38">
      <c r="A38" s="3">
        <f>Revenue!A38</f>
        <v/>
      </c>
      <c r="B38" s="4">
        <f>Revenue!G38</f>
        <v/>
      </c>
      <c r="C38" s="4">
        <f>Assumptions!B3+Personnel!D5+Assumptions!B10/60</f>
        <v/>
      </c>
      <c r="D38" s="4">
        <f>B38*(Assumptions!B4+Assumptions!B5+Assumptions!B6+Assumptions!B7)</f>
        <v/>
      </c>
      <c r="E38" s="4">
        <f>B38-D38</f>
        <v/>
      </c>
      <c r="F38" s="4">
        <f>IF(B38=0,0,C38/(E38/B38))</f>
        <v/>
      </c>
    </row>
    <row r="39">
      <c r="A39" s="3">
        <f>Revenue!A39</f>
        <v/>
      </c>
      <c r="B39" s="4">
        <f>Revenue!G39</f>
        <v/>
      </c>
      <c r="C39" s="4">
        <f>Assumptions!B3+Personnel!D5+Assumptions!B10/60</f>
        <v/>
      </c>
      <c r="D39" s="4">
        <f>B39*(Assumptions!B4+Assumptions!B5+Assumptions!B6+Assumptions!B7)</f>
        <v/>
      </c>
      <c r="E39" s="4">
        <f>B39-D39</f>
        <v/>
      </c>
      <c r="F39" s="4">
        <f>IF(B39=0,0,C39/(E39/B39))</f>
        <v/>
      </c>
    </row>
    <row r="40">
      <c r="A40" s="3">
        <f>Revenue!A40</f>
        <v/>
      </c>
      <c r="B40" s="4">
        <f>Revenue!G40</f>
        <v/>
      </c>
      <c r="C40" s="4">
        <f>Assumptions!B3+Personnel!D5+Assumptions!B10/60</f>
        <v/>
      </c>
      <c r="D40" s="4">
        <f>B40*(Assumptions!B4+Assumptions!B5+Assumptions!B6+Assumptions!B7)</f>
        <v/>
      </c>
      <c r="E40" s="4">
        <f>B40-D40</f>
        <v/>
      </c>
      <c r="F40" s="4">
        <f>IF(B40=0,0,C40/(E40/B40))</f>
        <v/>
      </c>
    </row>
    <row r="41">
      <c r="A41" s="3">
        <f>Revenue!A41</f>
        <v/>
      </c>
      <c r="B41" s="4">
        <f>Revenue!G41</f>
        <v/>
      </c>
      <c r="C41" s="4">
        <f>Assumptions!B3+Personnel!D5+Assumptions!B10/60</f>
        <v/>
      </c>
      <c r="D41" s="4">
        <f>B41*(Assumptions!B4+Assumptions!B5+Assumptions!B6+Assumptions!B7)</f>
        <v/>
      </c>
      <c r="E41" s="4">
        <f>B41-D41</f>
        <v/>
      </c>
      <c r="F41" s="4">
        <f>IF(B41=0,0,C41/(E41/B41))</f>
        <v/>
      </c>
    </row>
    <row r="42">
      <c r="A42" s="3">
        <f>Revenue!A42</f>
        <v/>
      </c>
      <c r="B42" s="4">
        <f>Revenue!G42</f>
        <v/>
      </c>
      <c r="C42" s="4">
        <f>Assumptions!B3+Personnel!D5+Assumptions!B10/60</f>
        <v/>
      </c>
      <c r="D42" s="4">
        <f>B42*(Assumptions!B4+Assumptions!B5+Assumptions!B6+Assumptions!B7)</f>
        <v/>
      </c>
      <c r="E42" s="4">
        <f>B42-D42</f>
        <v/>
      </c>
      <c r="F42" s="4">
        <f>IF(B42=0,0,C42/(E42/B42))</f>
        <v/>
      </c>
    </row>
    <row r="43">
      <c r="A43" s="3">
        <f>Revenue!A43</f>
        <v/>
      </c>
      <c r="B43" s="4">
        <f>Revenue!G43</f>
        <v/>
      </c>
      <c r="C43" s="4">
        <f>Assumptions!B3+Personnel!D5+Assumptions!B10/60</f>
        <v/>
      </c>
      <c r="D43" s="4">
        <f>B43*(Assumptions!B4+Assumptions!B5+Assumptions!B6+Assumptions!B7)</f>
        <v/>
      </c>
      <c r="E43" s="4">
        <f>B43-D43</f>
        <v/>
      </c>
      <c r="F43" s="4">
        <f>IF(B43=0,0,C43/(E43/B43))</f>
        <v/>
      </c>
    </row>
    <row r="44">
      <c r="A44" s="3">
        <f>Revenue!A44</f>
        <v/>
      </c>
      <c r="B44" s="4">
        <f>Revenue!G44</f>
        <v/>
      </c>
      <c r="C44" s="4">
        <f>Assumptions!B3+Personnel!D5+Assumptions!B10/60</f>
        <v/>
      </c>
      <c r="D44" s="4">
        <f>B44*(Assumptions!B4+Assumptions!B5+Assumptions!B6+Assumptions!B7)</f>
        <v/>
      </c>
      <c r="E44" s="4">
        <f>B44-D44</f>
        <v/>
      </c>
      <c r="F44" s="4">
        <f>IF(B44=0,0,C44/(E44/B44))</f>
        <v/>
      </c>
    </row>
    <row r="45">
      <c r="A45" s="3">
        <f>Revenue!A45</f>
        <v/>
      </c>
      <c r="B45" s="4">
        <f>Revenue!G45</f>
        <v/>
      </c>
      <c r="C45" s="4">
        <f>Assumptions!B3+Personnel!D5+Assumptions!B10/60</f>
        <v/>
      </c>
      <c r="D45" s="4">
        <f>B45*(Assumptions!B4+Assumptions!B5+Assumptions!B6+Assumptions!B7)</f>
        <v/>
      </c>
      <c r="E45" s="4">
        <f>B45-D45</f>
        <v/>
      </c>
      <c r="F45" s="4">
        <f>IF(B45=0,0,C45/(E45/B45))</f>
        <v/>
      </c>
    </row>
    <row r="46">
      <c r="A46" s="3">
        <f>Revenue!A46</f>
        <v/>
      </c>
      <c r="B46" s="4">
        <f>Revenue!G46</f>
        <v/>
      </c>
      <c r="C46" s="4">
        <f>Assumptions!B3+Personnel!D5+Assumptions!B10/60</f>
        <v/>
      </c>
      <c r="D46" s="4">
        <f>B46*(Assumptions!B4+Assumptions!B5+Assumptions!B6+Assumptions!B7)</f>
        <v/>
      </c>
      <c r="E46" s="4">
        <f>B46-D46</f>
        <v/>
      </c>
      <c r="F46" s="4">
        <f>IF(B46=0,0,C46/(E46/B46))</f>
        <v/>
      </c>
    </row>
    <row r="47">
      <c r="A47" s="3">
        <f>Revenue!A47</f>
        <v/>
      </c>
      <c r="B47" s="4">
        <f>Revenue!G47</f>
        <v/>
      </c>
      <c r="C47" s="4">
        <f>Assumptions!B3+Personnel!D5+Assumptions!B10/60</f>
        <v/>
      </c>
      <c r="D47" s="4">
        <f>B47*(Assumptions!B4+Assumptions!B5+Assumptions!B6+Assumptions!B7)</f>
        <v/>
      </c>
      <c r="E47" s="4">
        <f>B47-D47</f>
        <v/>
      </c>
      <c r="F47" s="4">
        <f>IF(B47=0,0,C47/(E47/B47))</f>
        <v/>
      </c>
    </row>
    <row r="48">
      <c r="A48" s="3">
        <f>Revenue!A48</f>
        <v/>
      </c>
      <c r="B48" s="4">
        <f>Revenue!G48</f>
        <v/>
      </c>
      <c r="C48" s="4">
        <f>Assumptions!B3+Personnel!D5+Assumptions!B10/60</f>
        <v/>
      </c>
      <c r="D48" s="4">
        <f>B48*(Assumptions!B4+Assumptions!B5+Assumptions!B6+Assumptions!B7)</f>
        <v/>
      </c>
      <c r="E48" s="4">
        <f>B48-D48</f>
        <v/>
      </c>
      <c r="F48" s="4">
        <f>IF(B48=0,0,C48/(E48/B48))</f>
        <v/>
      </c>
    </row>
    <row r="49">
      <c r="A49" s="3">
        <f>Revenue!A49</f>
        <v/>
      </c>
      <c r="B49" s="4">
        <f>Revenue!G49</f>
        <v/>
      </c>
      <c r="C49" s="4">
        <f>Assumptions!B3+Personnel!D5+Assumptions!B10/60</f>
        <v/>
      </c>
      <c r="D49" s="4">
        <f>B49*(Assumptions!B4+Assumptions!B5+Assumptions!B6+Assumptions!B7)</f>
        <v/>
      </c>
      <c r="E49" s="4">
        <f>B49-D49</f>
        <v/>
      </c>
      <c r="F49" s="4">
        <f>IF(B49=0,0,C49/(E49/B49))</f>
        <v/>
      </c>
    </row>
    <row r="50">
      <c r="A50" s="3">
        <f>Revenue!A50</f>
        <v/>
      </c>
      <c r="B50" s="4">
        <f>Revenue!G50</f>
        <v/>
      </c>
      <c r="C50" s="4">
        <f>Assumptions!B3+Personnel!D5+Assumptions!B10/60</f>
        <v/>
      </c>
      <c r="D50" s="4">
        <f>B50*(Assumptions!B4+Assumptions!B5+Assumptions!B6+Assumptions!B7)</f>
        <v/>
      </c>
      <c r="E50" s="4">
        <f>B50-D50</f>
        <v/>
      </c>
      <c r="F50" s="4">
        <f>IF(B50=0,0,C50/(E50/B50))</f>
        <v/>
      </c>
    </row>
    <row r="51">
      <c r="A51" s="3">
        <f>Revenue!A51</f>
        <v/>
      </c>
      <c r="B51" s="4">
        <f>Revenue!G51</f>
        <v/>
      </c>
      <c r="C51" s="4">
        <f>Assumptions!B3+Personnel!D5+Assumptions!B10/60</f>
        <v/>
      </c>
      <c r="D51" s="4">
        <f>B51*(Assumptions!B4+Assumptions!B5+Assumptions!B6+Assumptions!B7)</f>
        <v/>
      </c>
      <c r="E51" s="4">
        <f>B51-D51</f>
        <v/>
      </c>
      <c r="F51" s="4">
        <f>IF(B51=0,0,C51/(E51/B51))</f>
        <v/>
      </c>
    </row>
    <row r="52">
      <c r="A52" s="3">
        <f>Revenue!A52</f>
        <v/>
      </c>
      <c r="B52" s="4">
        <f>Revenue!G52</f>
        <v/>
      </c>
      <c r="C52" s="4">
        <f>Assumptions!B3+Personnel!D5+Assumptions!B10/60</f>
        <v/>
      </c>
      <c r="D52" s="4">
        <f>B52*(Assumptions!B4+Assumptions!B5+Assumptions!B6+Assumptions!B7)</f>
        <v/>
      </c>
      <c r="E52" s="4">
        <f>B52-D52</f>
        <v/>
      </c>
      <c r="F52" s="4">
        <f>IF(B52=0,0,C52/(E52/B52))</f>
        <v/>
      </c>
    </row>
    <row r="53">
      <c r="A53" s="3">
        <f>Revenue!A53</f>
        <v/>
      </c>
      <c r="B53" s="4">
        <f>Revenue!G53</f>
        <v/>
      </c>
      <c r="C53" s="4">
        <f>Assumptions!B3+Personnel!D5+Assumptions!B10/60</f>
        <v/>
      </c>
      <c r="D53" s="4">
        <f>B53*(Assumptions!B4+Assumptions!B5+Assumptions!B6+Assumptions!B7)</f>
        <v/>
      </c>
      <c r="E53" s="4">
        <f>B53-D53</f>
        <v/>
      </c>
      <c r="F53" s="4">
        <f>IF(B53=0,0,C53/(E53/B53))</f>
        <v/>
      </c>
    </row>
    <row r="54">
      <c r="A54" s="3">
        <f>Revenue!A54</f>
        <v/>
      </c>
      <c r="B54" s="4">
        <f>Revenue!G54</f>
        <v/>
      </c>
      <c r="C54" s="4">
        <f>Assumptions!B3+Personnel!D5+Assumptions!B10/60</f>
        <v/>
      </c>
      <c r="D54" s="4">
        <f>B54*(Assumptions!B4+Assumptions!B5+Assumptions!B6+Assumptions!B7)</f>
        <v/>
      </c>
      <c r="E54" s="4">
        <f>B54-D54</f>
        <v/>
      </c>
      <c r="F54" s="4">
        <f>IF(B54=0,0,C54/(E54/B54))</f>
        <v/>
      </c>
    </row>
    <row r="55">
      <c r="A55" s="3">
        <f>Revenue!A55</f>
        <v/>
      </c>
      <c r="B55" s="4">
        <f>Revenue!G55</f>
        <v/>
      </c>
      <c r="C55" s="4">
        <f>Assumptions!B3+Personnel!D5+Assumptions!B10/60</f>
        <v/>
      </c>
      <c r="D55" s="4">
        <f>B55*(Assumptions!B4+Assumptions!B5+Assumptions!B6+Assumptions!B7)</f>
        <v/>
      </c>
      <c r="E55" s="4">
        <f>B55-D55</f>
        <v/>
      </c>
      <c r="F55" s="4">
        <f>IF(B55=0,0,C55/(E55/B55))</f>
        <v/>
      </c>
    </row>
    <row r="56">
      <c r="A56" s="3">
        <f>Revenue!A56</f>
        <v/>
      </c>
      <c r="B56" s="4">
        <f>Revenue!G56</f>
        <v/>
      </c>
      <c r="C56" s="4">
        <f>Assumptions!B3+Personnel!D5+Assumptions!B10/60</f>
        <v/>
      </c>
      <c r="D56" s="4">
        <f>B56*(Assumptions!B4+Assumptions!B5+Assumptions!B6+Assumptions!B7)</f>
        <v/>
      </c>
      <c r="E56" s="4">
        <f>B56-D56</f>
        <v/>
      </c>
      <c r="F56" s="4">
        <f>IF(B56=0,0,C56/(E56/B56))</f>
        <v/>
      </c>
    </row>
    <row r="57">
      <c r="A57" s="3">
        <f>Revenue!A57</f>
        <v/>
      </c>
      <c r="B57" s="4">
        <f>Revenue!G57</f>
        <v/>
      </c>
      <c r="C57" s="4">
        <f>Assumptions!B3+Personnel!D5+Assumptions!B10/60</f>
        <v/>
      </c>
      <c r="D57" s="4">
        <f>B57*(Assumptions!B4+Assumptions!B5+Assumptions!B6+Assumptions!B7)</f>
        <v/>
      </c>
      <c r="E57" s="4">
        <f>B57-D57</f>
        <v/>
      </c>
      <c r="F57" s="4">
        <f>IF(B57=0,0,C57/(E57/B57))</f>
        <v/>
      </c>
    </row>
    <row r="58">
      <c r="A58" s="3">
        <f>Revenue!A58</f>
        <v/>
      </c>
      <c r="B58" s="4">
        <f>Revenue!G58</f>
        <v/>
      </c>
      <c r="C58" s="4">
        <f>Assumptions!B3+Personnel!D5+Assumptions!B10/60</f>
        <v/>
      </c>
      <c r="D58" s="4">
        <f>B58*(Assumptions!B4+Assumptions!B5+Assumptions!B6+Assumptions!B7)</f>
        <v/>
      </c>
      <c r="E58" s="4">
        <f>B58-D58</f>
        <v/>
      </c>
      <c r="F58" s="4">
        <f>IF(B58=0,0,C58/(E58/B58))</f>
        <v/>
      </c>
    </row>
    <row r="59">
      <c r="A59" s="3">
        <f>Revenue!A59</f>
        <v/>
      </c>
      <c r="B59" s="4">
        <f>Revenue!G59</f>
        <v/>
      </c>
      <c r="C59" s="4">
        <f>Assumptions!B3+Personnel!D5+Assumptions!B10/60</f>
        <v/>
      </c>
      <c r="D59" s="4">
        <f>B59*(Assumptions!B4+Assumptions!B5+Assumptions!B6+Assumptions!B7)</f>
        <v/>
      </c>
      <c r="E59" s="4">
        <f>B59-D59</f>
        <v/>
      </c>
      <c r="F59" s="4">
        <f>IF(B59=0,0,C59/(E59/B59))</f>
        <v/>
      </c>
    </row>
    <row r="60">
      <c r="A60" s="3">
        <f>Revenue!A60</f>
        <v/>
      </c>
      <c r="B60" s="4">
        <f>Revenue!G60</f>
        <v/>
      </c>
      <c r="C60" s="4">
        <f>Assumptions!B3+Personnel!D5+Assumptions!B10/60</f>
        <v/>
      </c>
      <c r="D60" s="4">
        <f>B60*(Assumptions!B4+Assumptions!B5+Assumptions!B6+Assumptions!B7)</f>
        <v/>
      </c>
      <c r="E60" s="4">
        <f>B60-D60</f>
        <v/>
      </c>
      <c r="F60" s="4">
        <f>IF(B60=0,0,C60/(E60/B60))</f>
        <v/>
      </c>
    </row>
    <row r="61">
      <c r="A61" s="3">
        <f>Revenue!A61</f>
        <v/>
      </c>
      <c r="B61" s="4">
        <f>Revenue!G61</f>
        <v/>
      </c>
      <c r="C61" s="4">
        <f>Assumptions!B3+Personnel!D5+Assumptions!B10/60</f>
        <v/>
      </c>
      <c r="D61" s="4">
        <f>B61*(Assumptions!B4+Assumptions!B5+Assumptions!B6+Assumptions!B7)</f>
        <v/>
      </c>
      <c r="E61" s="4">
        <f>B61-D61</f>
        <v/>
      </c>
      <c r="F61" s="4">
        <f>IF(B61=0,0,C61/(E61/B61))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3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Location</t>
        </is>
      </c>
      <c r="B1" s="2" t="inlineStr">
        <is>
          <t>Year Opened</t>
        </is>
      </c>
      <c r="C1" s="2" t="inlineStr">
        <is>
          <t>Capex</t>
        </is>
      </c>
      <c r="D1" s="2" t="inlineStr">
        <is>
          <t>Population</t>
        </is>
      </c>
      <c r="E1" s="2" t="inlineStr">
        <is>
          <t>Scale Factor</t>
        </is>
      </c>
      <c r="F1" s="2" t="inlineStr">
        <is>
          <t>2024 Revenue</t>
        </is>
      </c>
      <c r="G1" s="2" t="inlineStr">
        <is>
          <t>2025 Revenue</t>
        </is>
      </c>
      <c r="H1" s="2" t="inlineStr">
        <is>
          <t>2026 Revenue</t>
        </is>
      </c>
      <c r="I1" s="2" t="inlineStr">
        <is>
          <t>2027 Revenue</t>
        </is>
      </c>
      <c r="J1" s="2" t="inlineStr">
        <is>
          <t>2028 Revenue</t>
        </is>
      </c>
    </row>
    <row r="2">
      <c r="A2" s="3" t="inlineStr">
        <is>
          <t>Milano</t>
        </is>
      </c>
      <c r="B2" s="3" t="n">
        <v>2024</v>
      </c>
      <c r="C2" s="4" t="n">
        <v>350000</v>
      </c>
      <c r="D2" s="10" t="n">
        <v>1.4</v>
      </c>
      <c r="E2" s="11" t="n">
        <v>1</v>
      </c>
      <c r="F2" s="4">
        <f>PnL!B63*E2</f>
        <v/>
      </c>
      <c r="G2" s="4">
        <f>PnL!B64*E2</f>
        <v/>
      </c>
      <c r="H2" s="4">
        <f>PnL!B65*E2</f>
        <v/>
      </c>
      <c r="I2" s="4">
        <f>PnL!B66*E2</f>
        <v/>
      </c>
      <c r="J2" s="4">
        <f>PnL!B67*E2</f>
        <v/>
      </c>
    </row>
    <row r="3">
      <c r="A3" s="3" t="inlineStr">
        <is>
          <t>Roma</t>
        </is>
      </c>
      <c r="B3" s="3" t="n">
        <v>2025</v>
      </c>
      <c r="C3" s="4" t="n">
        <v>250000</v>
      </c>
      <c r="D3" s="10" t="n">
        <v>2.8</v>
      </c>
      <c r="E3" s="11" t="n">
        <v>2</v>
      </c>
      <c r="F3" s="4" t="n">
        <v>0</v>
      </c>
      <c r="G3" s="4">
        <f>PnL!B64*E3</f>
        <v/>
      </c>
      <c r="H3" s="4">
        <f>PnL!B65*E3</f>
        <v/>
      </c>
      <c r="I3" s="4">
        <f>PnL!B66*E3</f>
        <v/>
      </c>
      <c r="J3" s="4">
        <f>PnL!B67*E3</f>
        <v/>
      </c>
    </row>
    <row r="4">
      <c r="A4" s="3" t="inlineStr">
        <is>
          <t>Bologna</t>
        </is>
      </c>
      <c r="B4" s="3" t="n">
        <v>2026</v>
      </c>
      <c r="C4" s="4" t="n">
        <v>250000</v>
      </c>
      <c r="D4" s="10" t="n">
        <v>0.4</v>
      </c>
      <c r="E4" s="11" t="n">
        <v>0.2857142857142858</v>
      </c>
      <c r="F4" s="4" t="n">
        <v>0</v>
      </c>
      <c r="G4" s="4" t="n">
        <v>0</v>
      </c>
      <c r="H4" s="4">
        <f>PnL!B65*E4</f>
        <v/>
      </c>
      <c r="I4" s="4">
        <f>PnL!B66*E4</f>
        <v/>
      </c>
      <c r="J4" s="4">
        <f>PnL!B67*E4</f>
        <v/>
      </c>
    </row>
    <row r="5">
      <c r="A5" s="3" t="inlineStr">
        <is>
          <t>Torino</t>
        </is>
      </c>
      <c r="B5" s="3" t="n">
        <v>2027</v>
      </c>
      <c r="C5" s="4" t="n">
        <v>250000</v>
      </c>
      <c r="D5" s="10" t="n">
        <v>0.9</v>
      </c>
      <c r="E5" s="11" t="n">
        <v>0.6428571428571429</v>
      </c>
      <c r="F5" s="4" t="n">
        <v>0</v>
      </c>
      <c r="G5" s="4" t="n">
        <v>0</v>
      </c>
      <c r="H5" s="4" t="n">
        <v>0</v>
      </c>
      <c r="I5" s="4">
        <f>PnL!B66*E5</f>
        <v/>
      </c>
      <c r="J5" s="4">
        <f>PnL!B67*E5</f>
        <v/>
      </c>
    </row>
    <row r="6">
      <c r="A6" s="3" t="inlineStr">
        <is>
          <t>Firenze</t>
        </is>
      </c>
      <c r="B6" s="3" t="n">
        <v>2028</v>
      </c>
      <c r="C6" s="4" t="n">
        <v>250000</v>
      </c>
      <c r="D6" s="10" t="n">
        <v>0.4</v>
      </c>
      <c r="E6" s="11" t="n">
        <v>0.2857142857142858</v>
      </c>
      <c r="F6" s="4" t="n">
        <v>0</v>
      </c>
      <c r="G6" s="4" t="n">
        <v>0</v>
      </c>
      <c r="H6" s="4" t="n">
        <v>0</v>
      </c>
      <c r="I6" s="4" t="n">
        <v>0</v>
      </c>
      <c r="J6" s="4">
        <f>PnL!B67*E6</f>
        <v/>
      </c>
    </row>
    <row r="7">
      <c r="A7" s="9" t="inlineStr">
        <is>
          <t>Total</t>
        </is>
      </c>
      <c r="B7" s="3" t="n"/>
      <c r="C7" s="3" t="n"/>
      <c r="D7" s="3" t="n"/>
      <c r="E7" s="3" t="n"/>
      <c r="F7" s="4">
        <f>SUM(F2:F6)</f>
        <v/>
      </c>
      <c r="G7" s="4">
        <f>SUM(G2:G6)</f>
        <v/>
      </c>
      <c r="H7" s="4">
        <f>SUM(H2:H6)</f>
        <v/>
      </c>
      <c r="I7" s="4">
        <f>SUM(I2:I6)</f>
        <v/>
      </c>
      <c r="J7" s="4">
        <f>SUM(J2:J6)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31" customWidth="1" min="3" max="3"/>
    <col width="31" customWidth="1" min="4" max="4"/>
    <col width="31" customWidth="1" min="5" max="5"/>
    <col width="32" customWidth="1" min="6" max="6"/>
  </cols>
  <sheetData>
    <row r="1">
      <c r="A1" s="2" t="inlineStr">
        <is>
          <t>DCF Valuation</t>
        </is>
      </c>
      <c r="B1" s="2" t="n"/>
      <c r="C1" s="2" t="n"/>
      <c r="D1" s="2" t="n"/>
    </row>
    <row r="2">
      <c r="A2" s="9" t="inlineStr">
        <is>
          <t>Year</t>
        </is>
      </c>
      <c r="B2" s="9" t="inlineStr">
        <is>
          <t>FCF</t>
        </is>
      </c>
      <c r="C2" s="9" t="inlineStr">
        <is>
          <t>Discount Factor</t>
        </is>
      </c>
      <c r="D2" s="9" t="inlineStr">
        <is>
          <t>PV of FCF</t>
        </is>
      </c>
    </row>
    <row r="3">
      <c r="A3" s="3" t="n">
        <v>2024</v>
      </c>
      <c r="B3" s="4">
        <f>CashFlow!J2</f>
        <v/>
      </c>
      <c r="C3" s="12">
        <f>1/(1+Assumptions!B13)^1</f>
        <v/>
      </c>
      <c r="D3" s="4">
        <f>B3*C3</f>
        <v/>
      </c>
    </row>
    <row r="4">
      <c r="A4" s="3" t="n">
        <v>2025</v>
      </c>
      <c r="B4" s="4">
        <f>CashFlow!J3</f>
        <v/>
      </c>
      <c r="C4" s="12">
        <f>1/(1+Assumptions!B13)^2</f>
        <v/>
      </c>
      <c r="D4" s="4">
        <f>B4*C4</f>
        <v/>
      </c>
    </row>
    <row r="5">
      <c r="A5" s="3" t="n">
        <v>2026</v>
      </c>
      <c r="B5" s="4">
        <f>CashFlow!J4</f>
        <v/>
      </c>
      <c r="C5" s="12">
        <f>1/(1+Assumptions!B13)^3</f>
        <v/>
      </c>
      <c r="D5" s="4">
        <f>B5*C5</f>
        <v/>
      </c>
    </row>
    <row r="6">
      <c r="A6" s="3" t="n">
        <v>2027</v>
      </c>
      <c r="B6" s="4">
        <f>CashFlow!J5</f>
        <v/>
      </c>
      <c r="C6" s="12">
        <f>1/(1+Assumptions!B13)^4</f>
        <v/>
      </c>
      <c r="D6" s="4">
        <f>B6*C6</f>
        <v/>
      </c>
    </row>
    <row r="7">
      <c r="A7" s="3" t="n">
        <v>2028</v>
      </c>
      <c r="B7" s="4">
        <f>CashFlow!J6</f>
        <v/>
      </c>
      <c r="C7" s="12">
        <f>1/(1+Assumptions!B13)^5</f>
        <v/>
      </c>
      <c r="D7" s="4">
        <f>B7*C7</f>
        <v/>
      </c>
    </row>
    <row r="8">
      <c r="A8" s="9" t="inlineStr">
        <is>
          <t>Terminal Value</t>
        </is>
      </c>
      <c r="B8" s="4">
        <f>B7*(1+Assumptions!B14)/(Assumptions!B13-Assumptions!B14)</f>
        <v/>
      </c>
      <c r="C8" s="12">
        <f>1/(1+Assumptions!B13)^5</f>
        <v/>
      </c>
      <c r="D8" s="4">
        <f>B8*C8</f>
        <v/>
      </c>
    </row>
    <row r="9">
      <c r="A9" s="3" t="n"/>
      <c r="B9" s="3" t="n"/>
      <c r="C9" s="3" t="n"/>
      <c r="D9" s="3" t="n"/>
    </row>
    <row r="10">
      <c r="A10" s="9" t="inlineStr">
        <is>
          <t>NPV of FCFs</t>
        </is>
      </c>
      <c r="B10" s="4">
        <f>SUM(D3:D7)</f>
        <v/>
      </c>
      <c r="C10" s="3" t="n"/>
      <c r="D10" s="3" t="n"/>
    </row>
    <row r="11">
      <c r="A11" s="9" t="inlineStr">
        <is>
          <t>NPV of TV</t>
        </is>
      </c>
      <c r="B11" s="4">
        <f>D8</f>
        <v/>
      </c>
      <c r="C11" s="3" t="n"/>
      <c r="D11" s="3" t="n"/>
    </row>
    <row r="12">
      <c r="A12" s="9" t="inlineStr">
        <is>
          <t>Enterprise Value</t>
        </is>
      </c>
      <c r="B12" s="4">
        <f>B10+B11</f>
        <v/>
      </c>
      <c r="C12" s="3" t="n"/>
      <c r="D12" s="3" t="n"/>
    </row>
    <row r="13">
      <c r="A13" s="9" t="inlineStr">
        <is>
          <t>Equity Value (no debt)</t>
        </is>
      </c>
      <c r="B13" s="4">
        <f>B12</f>
        <v/>
      </c>
      <c r="C13" s="3" t="n"/>
      <c r="D13" s="3" t="n"/>
    </row>
    <row r="14">
      <c r="A14" s="9" t="inlineStr">
        <is>
          <t>Initial Capex</t>
        </is>
      </c>
      <c r="B14" s="4">
        <f>Assumptions!B10</f>
        <v/>
      </c>
      <c r="C14" s="3" t="n"/>
      <c r="D14" s="3" t="n"/>
    </row>
    <row r="15">
      <c r="A15" s="9" t="inlineStr">
        <is>
          <t>IRR</t>
        </is>
      </c>
      <c r="B15" s="5">
        <f>IRR(B3:B7,-B14)</f>
        <v/>
      </c>
      <c r="C15" s="3" t="n"/>
      <c r="D15" s="3" t="n"/>
    </row>
    <row r="16"/>
    <row r="17">
      <c r="A17" s="9" t="inlineStr">
        <is>
          <t>Sensitivity: WACC vs Exit Multiple</t>
        </is>
      </c>
      <c r="B17" s="3" t="n"/>
      <c r="C17" s="3" t="n"/>
      <c r="D17" s="3" t="n"/>
      <c r="E17" s="3" t="n"/>
      <c r="F17" s="3" t="n"/>
    </row>
    <row r="18">
      <c r="A18" s="9" t="inlineStr">
        <is>
          <t>WACC \ Exit Multiple</t>
        </is>
      </c>
      <c r="B18" s="9" t="inlineStr">
        <is>
          <t>6x</t>
        </is>
      </c>
      <c r="C18" s="9" t="inlineStr">
        <is>
          <t>7x</t>
        </is>
      </c>
      <c r="D18" s="9" t="inlineStr">
        <is>
          <t>8x</t>
        </is>
      </c>
      <c r="E18" s="9" t="inlineStr">
        <is>
          <t>9x</t>
        </is>
      </c>
      <c r="F18" s="9" t="inlineStr">
        <is>
          <t>10x</t>
        </is>
      </c>
    </row>
    <row r="19">
      <c r="A19" s="5" t="n">
        <v>0.07000000000000001</v>
      </c>
      <c r="B19" s="4">
        <f>B10+ (PnL!H67*6)/(1+0.07)^5</f>
        <v/>
      </c>
      <c r="C19" s="4">
        <f>B10+ (PnL!H67*7)/(1+0.07)^5</f>
        <v/>
      </c>
      <c r="D19" s="4">
        <f>B10+ (PnL!H67*8)/(1+0.07)^5</f>
        <v/>
      </c>
      <c r="E19" s="4">
        <f>B10+ (PnL!H67*9)/(1+0.07)^5</f>
        <v/>
      </c>
      <c r="F19" s="4">
        <f>B10+ (PnL!H67*10)/(1+0.07)^5</f>
        <v/>
      </c>
    </row>
    <row r="20">
      <c r="A20" s="5" t="n">
        <v>0.08</v>
      </c>
      <c r="B20" s="4">
        <f>B10+ (PnL!H67*6)/(1+0.08)^5</f>
        <v/>
      </c>
      <c r="C20" s="4">
        <f>B10+ (PnL!H67*7)/(1+0.08)^5</f>
        <v/>
      </c>
      <c r="D20" s="4">
        <f>B10+ (PnL!H67*8)/(1+0.08)^5</f>
        <v/>
      </c>
      <c r="E20" s="4">
        <f>B10+ (PnL!H67*9)/(1+0.08)^5</f>
        <v/>
      </c>
      <c r="F20" s="4">
        <f>B10+ (PnL!H67*10)/(1+0.08)^5</f>
        <v/>
      </c>
    </row>
    <row r="21">
      <c r="A21" s="5" t="n">
        <v>0.09</v>
      </c>
      <c r="B21" s="4">
        <f>B10+ (PnL!H67*6)/(1+0.09)^5</f>
        <v/>
      </c>
      <c r="C21" s="4">
        <f>B10+ (PnL!H67*7)/(1+0.09)^5</f>
        <v/>
      </c>
      <c r="D21" s="4">
        <f>B10+ (PnL!H67*8)/(1+0.09)^5</f>
        <v/>
      </c>
      <c r="E21" s="4">
        <f>B10+ (PnL!H67*9)/(1+0.09)^5</f>
        <v/>
      </c>
      <c r="F21" s="4">
        <f>B10+ (PnL!H67*10)/(1+0.09)^5</f>
        <v/>
      </c>
    </row>
    <row r="22">
      <c r="A22" s="5" t="n">
        <v>0.1</v>
      </c>
      <c r="B22" s="4">
        <f>B10+ (PnL!H67*6)/(1+0.1)^5</f>
        <v/>
      </c>
      <c r="C22" s="4">
        <f>B10+ (PnL!H67*7)/(1+0.1)^5</f>
        <v/>
      </c>
      <c r="D22" s="4">
        <f>B10+ (PnL!H67*8)/(1+0.1)^5</f>
        <v/>
      </c>
      <c r="E22" s="4">
        <f>B10+ (PnL!H67*9)/(1+0.1)^5</f>
        <v/>
      </c>
      <c r="F22" s="4">
        <f>B10+ (PnL!H67*10)/(1+0.1)^5</f>
        <v/>
      </c>
    </row>
    <row r="23">
      <c r="A23" s="13" t="n">
        <v>0.11</v>
      </c>
      <c r="B23" s="14">
        <f>B10+ (PnL!H67*6)/(1+0.11)^5</f>
        <v/>
      </c>
      <c r="C23" s="14">
        <f>B10+ (PnL!H67*7)/(1+0.11)^5</f>
        <v/>
      </c>
      <c r="D23" s="14">
        <f>B10+ (PnL!H67*8)/(1+0.11)^5</f>
        <v/>
      </c>
      <c r="E23" s="14">
        <f>B10+ (PnL!H67*9)/(1+0.11)^5</f>
        <v/>
      </c>
      <c r="F23" s="14">
        <f>B10+ (PnL!H67*10)/(1+0.11)^5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2" t="inlineStr">
        <is>
          <t>EBITDA Year 5 Sensitivity</t>
        </is>
      </c>
      <c r="B1" s="2" t="n"/>
      <c r="C1" s="2" t="n"/>
      <c r="D1" s="2" t="n"/>
      <c r="E1" s="2" t="n"/>
      <c r="F1" s="2" t="n"/>
      <c r="G1" s="2" t="n"/>
    </row>
    <row r="2">
      <c r="A2" s="9" t="inlineStr">
        <is>
          <t>Scontrino \ Coperti</t>
        </is>
      </c>
      <c r="B2" s="9" t="n">
        <v>100</v>
      </c>
      <c r="C2" s="9" t="n">
        <v>110</v>
      </c>
      <c r="D2" s="9" t="n">
        <v>120</v>
      </c>
      <c r="E2" s="9" t="n">
        <v>130</v>
      </c>
      <c r="F2" s="9" t="n">
        <v>140</v>
      </c>
      <c r="G2" s="9" t="n">
        <v>150</v>
      </c>
    </row>
    <row r="3">
      <c r="A3" s="6" t="n">
        <v>16</v>
      </c>
      <c r="B3" s="4" t="n">
        <v>265497</v>
      </c>
      <c r="C3" s="4" t="n">
        <v>301646</v>
      </c>
      <c r="D3" s="4" t="n">
        <v>337796</v>
      </c>
      <c r="E3" s="4" t="n">
        <v>373945</v>
      </c>
      <c r="F3" s="4" t="n">
        <v>410095</v>
      </c>
      <c r="G3" s="4" t="n">
        <v>446245</v>
      </c>
    </row>
    <row r="4">
      <c r="A4" s="6" t="n">
        <v>17</v>
      </c>
      <c r="B4" s="4" t="n">
        <v>288090</v>
      </c>
      <c r="C4" s="4" t="n">
        <v>326499</v>
      </c>
      <c r="D4" s="4" t="n">
        <v>364908</v>
      </c>
      <c r="E4" s="4" t="n">
        <v>403317</v>
      </c>
      <c r="F4" s="4" t="n">
        <v>441726</v>
      </c>
      <c r="G4" s="4" t="n">
        <v>480135</v>
      </c>
    </row>
    <row r="5">
      <c r="A5" s="6" t="n">
        <v>18</v>
      </c>
      <c r="B5" s="4" t="n">
        <v>310684</v>
      </c>
      <c r="C5" s="4" t="n">
        <v>351352</v>
      </c>
      <c r="D5" s="4" t="n">
        <v>392020</v>
      </c>
      <c r="E5" s="4" t="n">
        <v>432689</v>
      </c>
      <c r="F5" s="4" t="n">
        <v>473357</v>
      </c>
      <c r="G5" s="4" t="n">
        <v>514025</v>
      </c>
    </row>
    <row r="6">
      <c r="A6" s="6" t="n">
        <v>19</v>
      </c>
      <c r="B6" s="4" t="n">
        <v>333277</v>
      </c>
      <c r="C6" s="4" t="n">
        <v>376205</v>
      </c>
      <c r="D6" s="4" t="n">
        <v>419133</v>
      </c>
      <c r="E6" s="4" t="n">
        <v>462060</v>
      </c>
      <c r="F6" s="4" t="n">
        <v>504988</v>
      </c>
      <c r="G6" s="4" t="n">
        <v>547916</v>
      </c>
    </row>
    <row r="7">
      <c r="A7" s="6" t="n">
        <v>20</v>
      </c>
      <c r="B7" s="4" t="n">
        <v>355871</v>
      </c>
      <c r="C7" s="4" t="n">
        <v>401058</v>
      </c>
      <c r="D7" s="4" t="n">
        <v>446245</v>
      </c>
      <c r="E7" s="4" t="n">
        <v>491432</v>
      </c>
      <c r="F7" s="4" t="n">
        <v>536619</v>
      </c>
      <c r="G7" s="4" t="n">
        <v>581806</v>
      </c>
    </row>
    <row r="8">
      <c r="A8" s="6" t="n">
        <v>21</v>
      </c>
      <c r="B8" s="4" t="n">
        <v>378464</v>
      </c>
      <c r="C8" s="4" t="n">
        <v>425911</v>
      </c>
      <c r="D8" s="4" t="n">
        <v>473357</v>
      </c>
      <c r="E8" s="4" t="n">
        <v>520803</v>
      </c>
      <c r="F8" s="4" t="n">
        <v>568250</v>
      </c>
      <c r="G8" s="4" t="n">
        <v>615696</v>
      </c>
    </row>
    <row r="9">
      <c r="A9" s="6" t="n">
        <v>22</v>
      </c>
      <c r="B9" s="4" t="n">
        <v>401058</v>
      </c>
      <c r="C9" s="4" t="n">
        <v>450763</v>
      </c>
      <c r="D9" s="4" t="n">
        <v>500469</v>
      </c>
      <c r="E9" s="4" t="n">
        <v>550175</v>
      </c>
      <c r="F9" s="4" t="n">
        <v>599881</v>
      </c>
      <c r="G9" s="4" t="n">
        <v>649587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2026-06-04T11:26:01Z</dcterms:created>
  <dcterms:modified xsi:type="dcterms:W3CDTF">2026-06-04T11:26:01Z</dcterms:modified>
</cp:coreProperties>
</file>