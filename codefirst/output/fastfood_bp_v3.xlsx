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enu" sheetId="2" state="visible" r:id="rId2"/>
    <sheet name="Personnel" sheetId="3" state="visible" r:id="rId3"/>
    <sheet name="Revenue" sheetId="4" state="visible" r:id="rId4"/>
    <sheet name="PnL" sheetId="5" state="visible" r:id="rId5"/>
    <sheet name="CashFlow" sheetId="6" state="visible" r:id="rId6"/>
    <sheet name="BreakEven" sheetId="7" state="visible" r:id="rId7"/>
    <sheet name="ScaleUp" sheetId="8" state="visible" r:id="rId8"/>
    <sheet name="Valuation" sheetId="9" state="visible" r:id="rId9"/>
    <sheet name="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€#,##0"/>
    <numFmt numFmtId="165" formatCode="0.0%"/>
    <numFmt numFmtId="166" formatCode="0.0x"/>
    <numFmt numFmtId="167" formatCode="€#,##0.00"/>
    <numFmt numFmtId="168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1" fontId="0" fillId="3" borderId="1" pivotButton="0" quotePrefix="0" xfId="0"/>
    <xf numFmtId="166" fontId="0" fillId="3" borderId="1" pivotButton="0" quotePrefix="0" xfId="0"/>
    <xf numFmtId="0" fontId="1" fillId="2" borderId="0" pivotButton="0" quotePrefix="0" xfId="0"/>
    <xf numFmtId="167" fontId="0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1" fontId="1" fillId="2" borderId="1" pivotButton="0" quotePrefix="0" xfId="0"/>
    <xf numFmtId="2" fontId="2" fillId="0" borderId="1" pivotButton="0" quotePrefix="0" xfId="0"/>
    <xf numFmtId="2" fontId="0" fillId="0" borderId="1" pivotButton="0" quotePrefix="0" xfId="0"/>
    <xf numFmtId="1" fontId="2" fillId="0" borderId="1" pivotButton="0" quotePrefix="0" xfId="0"/>
    <xf numFmtId="1" fontId="0" fillId="0" borderId="1" pivotButton="0" quotePrefix="0" xfId="0"/>
    <xf numFmtId="167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8" fontId="0" fillId="0" borderId="1" pivotButton="0" quotePrefix="0" xfId="0"/>
    <xf numFmtId="167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1" t="inlineStr">
        <is>
          <t>MEAT CREW - Assumptions</t>
        </is>
      </c>
      <c r="B1" s="2" t="n"/>
    </row>
    <row r="2">
      <c r="A2" s="2" t="n"/>
      <c r="B2" s="2" t="n"/>
    </row>
    <row r="3">
      <c r="A3" s="3" t="inlineStr">
        <is>
          <t>Rent (monthly)</t>
        </is>
      </c>
      <c r="B3" s="4" t="n">
        <v>8000</v>
      </c>
    </row>
    <row r="4">
      <c r="A4" s="3" t="inlineStr">
        <is>
          <t>Food Cost %</t>
        </is>
      </c>
      <c r="B4" s="5" t="n">
        <v>0.28</v>
      </c>
    </row>
    <row r="5">
      <c r="A5" s="3" t="inlineStr">
        <is>
          <t>Labor %</t>
        </is>
      </c>
      <c r="B5" s="5" t="n">
        <v>0.22</v>
      </c>
    </row>
    <row r="6">
      <c r="A6" s="3" t="inlineStr">
        <is>
          <t>Utilities %</t>
        </is>
      </c>
      <c r="B6" s="5" t="n">
        <v>0.03</v>
      </c>
    </row>
    <row r="7">
      <c r="A7" s="3" t="inlineStr">
        <is>
          <t>Marketing %</t>
        </is>
      </c>
      <c r="B7" s="5" t="n">
        <v>0.02</v>
      </c>
    </row>
    <row r="8">
      <c r="A8" s="3" t="inlineStr">
        <is>
          <t>Average Ticket (€)</t>
        </is>
      </c>
      <c r="B8" s="4" t="n">
        <v>18</v>
      </c>
    </row>
    <row r="9">
      <c r="A9" s="3" t="inlineStr">
        <is>
          <t>Daily Covers</t>
        </is>
      </c>
      <c r="B9" s="6" t="n">
        <v>120</v>
      </c>
    </row>
    <row r="10">
      <c r="A10" s="3" t="inlineStr">
        <is>
          <t>Capex (€)</t>
        </is>
      </c>
      <c r="B10" s="4" t="n">
        <v>350000</v>
      </c>
    </row>
    <row r="11">
      <c r="A11" s="3" t="inlineStr">
        <is>
          <t>EBITDA Multiple</t>
        </is>
      </c>
      <c r="B11" s="7" t="n">
        <v>8</v>
      </c>
    </row>
    <row r="12">
      <c r="A12" s="3" t="inlineStr">
        <is>
          <t>WACC</t>
        </is>
      </c>
      <c r="B12" s="5" t="n">
        <v>0.09</v>
      </c>
    </row>
    <row r="13">
      <c r="A13" s="3" t="inlineStr">
        <is>
          <t>Perpetual Growth</t>
        </is>
      </c>
      <c r="B13" s="5" t="n">
        <v>0.02</v>
      </c>
    </row>
    <row r="14">
      <c r="A14" s="3" t="inlineStr">
        <is>
          <t>Days Open per Month</t>
        </is>
      </c>
      <c r="B14" s="6" t="n">
        <v>30</v>
      </c>
    </row>
    <row r="15">
      <c r="A15" s="3" t="inlineStr">
        <is>
          <t>IRES</t>
        </is>
      </c>
      <c r="B15" s="5" t="n">
        <v>0.24</v>
      </c>
    </row>
    <row r="16">
      <c r="A16" s="3" t="inlineStr">
        <is>
          <t>IRAP</t>
        </is>
      </c>
      <c r="B16" s="5" t="n">
        <v>0.039</v>
      </c>
    </row>
    <row r="17">
      <c r="A17" s="3" t="inlineStr">
        <is>
          <t>Depreciation Years</t>
        </is>
      </c>
      <c r="B17" s="6" t="n">
        <v>10</v>
      </c>
    </row>
    <row r="18">
      <c r="A18" s="3" t="inlineStr">
        <is>
          <t>Growth Y2</t>
        </is>
      </c>
      <c r="B18" s="5" t="n">
        <v>0.15</v>
      </c>
    </row>
    <row r="19">
      <c r="A19" s="3" t="inlineStr">
        <is>
          <t>Growth Y3</t>
        </is>
      </c>
      <c r="B19" s="5" t="n">
        <v>0.1</v>
      </c>
    </row>
    <row r="20">
      <c r="A20" s="3" t="inlineStr">
        <is>
          <t>Growth Y4-Y5</t>
        </is>
      </c>
      <c r="B20" s="5" t="n">
        <v>0.05</v>
      </c>
    </row>
    <row r="21">
      <c r="A21" s="3" t="inlineStr">
        <is>
          <t>Seasonality Max</t>
        </is>
      </c>
      <c r="B21" s="5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  <col width="13" customWidth="1" min="4" max="4"/>
  </cols>
  <sheetData>
    <row r="1">
      <c r="A1" s="8" t="inlineStr">
        <is>
          <t>Category</t>
        </is>
      </c>
      <c r="B1" s="8" t="inlineStr">
        <is>
          <t>Item</t>
        </is>
      </c>
      <c r="C1" s="8" t="inlineStr">
        <is>
          <t>Single Price</t>
        </is>
      </c>
      <c r="D1" s="8" t="inlineStr">
        <is>
          <t>Menu Price</t>
        </is>
      </c>
    </row>
    <row r="2">
      <c r="A2" s="2" t="inlineStr">
        <is>
          <t>Starters</t>
        </is>
      </c>
      <c r="B2" s="2" t="inlineStr">
        <is>
          <t>Mochos Bites</t>
        </is>
      </c>
      <c r="C2" s="9" t="n">
        <v>6.9</v>
      </c>
      <c r="D2" s="9" t="inlineStr"/>
    </row>
    <row r="3">
      <c r="A3" s="2" t="inlineStr"/>
      <c r="B3" s="2" t="inlineStr">
        <is>
          <t>Chicken Tenders</t>
        </is>
      </c>
      <c r="C3" s="9" t="n">
        <v>6.9</v>
      </c>
      <c r="D3" s="9" t="inlineStr"/>
    </row>
    <row r="4">
      <c r="A4" s="2" t="inlineStr">
        <is>
          <t>Burgers</t>
        </is>
      </c>
      <c r="B4" s="2" t="inlineStr">
        <is>
          <t>L.A. Burger</t>
        </is>
      </c>
      <c r="C4" s="9" t="n">
        <v>14.5</v>
      </c>
      <c r="D4" s="9" t="n">
        <v>21.9</v>
      </c>
    </row>
    <row r="5">
      <c r="A5" s="2" t="inlineStr"/>
      <c r="B5" s="2" t="inlineStr">
        <is>
          <t>Crispy Burger</t>
        </is>
      </c>
      <c r="C5" s="9" t="n">
        <v>14.5</v>
      </c>
      <c r="D5" s="9" t="n">
        <v>21.9</v>
      </c>
    </row>
    <row r="6">
      <c r="A6" s="2" t="inlineStr"/>
      <c r="B6" s="2" t="inlineStr">
        <is>
          <t>Mac Cheese Burger</t>
        </is>
      </c>
      <c r="C6" s="9" t="n">
        <v>15.5</v>
      </c>
      <c r="D6" s="9" t="n">
        <v>22.9</v>
      </c>
    </row>
    <row r="7">
      <c r="A7" s="2" t="inlineStr"/>
      <c r="B7" s="2" t="inlineStr">
        <is>
          <t>Oklahoma Burger</t>
        </is>
      </c>
      <c r="C7" s="9" t="n">
        <v>15</v>
      </c>
      <c r="D7" s="9" t="n">
        <v>22.4</v>
      </c>
    </row>
    <row r="8">
      <c r="A8" s="2" t="inlineStr"/>
      <c r="B8" s="2" t="inlineStr">
        <is>
          <t>Junior Burger</t>
        </is>
      </c>
      <c r="C8" s="9" t="n">
        <v>8.5</v>
      </c>
      <c r="D8" s="9" t="inlineStr"/>
    </row>
    <row r="9">
      <c r="A9" s="2" t="inlineStr">
        <is>
          <t>Sandwiches</t>
        </is>
      </c>
      <c r="B9" s="2" t="inlineStr">
        <is>
          <t>Pastrami Sandwich</t>
        </is>
      </c>
      <c r="C9" s="9" t="n">
        <v>19</v>
      </c>
      <c r="D9" s="9" t="n">
        <v>26.4</v>
      </c>
    </row>
    <row r="10">
      <c r="A10" s="2" t="inlineStr"/>
      <c r="B10" s="2" t="inlineStr">
        <is>
          <t>The O.G. Sandwich</t>
        </is>
      </c>
      <c r="C10" s="9" t="n">
        <v>14.5</v>
      </c>
      <c r="D10" s="9" t="n">
        <v>21.9</v>
      </c>
    </row>
    <row r="11">
      <c r="A11" s="2" t="inlineStr">
        <is>
          <t>Hot Dogs</t>
        </is>
      </c>
      <c r="B11" s="2" t="inlineStr">
        <is>
          <t>Bacon Dog</t>
        </is>
      </c>
      <c r="C11" s="9" t="n">
        <v>8</v>
      </c>
      <c r="D11" s="9" t="n">
        <v>15.4</v>
      </c>
    </row>
    <row r="12">
      <c r="A12" s="2" t="inlineStr"/>
      <c r="B12" s="2" t="inlineStr">
        <is>
          <t>Chili Dog</t>
        </is>
      </c>
      <c r="C12" s="9" t="n">
        <v>9</v>
      </c>
      <c r="D12" s="9" t="n">
        <v>16.4</v>
      </c>
    </row>
    <row r="13">
      <c r="A13" s="2" t="inlineStr">
        <is>
          <t>Sides</t>
        </is>
      </c>
      <c r="B13" s="2" t="inlineStr">
        <is>
          <t>Crispy Fries</t>
        </is>
      </c>
      <c r="C13" s="9" t="n">
        <v>5.5</v>
      </c>
      <c r="D13" s="9" t="inlineStr"/>
    </row>
    <row r="14">
      <c r="A14" s="2" t="inlineStr"/>
      <c r="B14" s="2" t="inlineStr">
        <is>
          <t>Bacon Fries</t>
        </is>
      </c>
      <c r="C14" s="9" t="n">
        <v>6.5</v>
      </c>
      <c r="D14" s="9" t="inlineStr"/>
    </row>
    <row r="15">
      <c r="A15" s="2" t="inlineStr"/>
      <c r="B15" s="2" t="inlineStr">
        <is>
          <t>Chili Fries</t>
        </is>
      </c>
      <c r="C15" s="9" t="n">
        <v>6.5</v>
      </c>
      <c r="D15" s="9" t="inlineStr"/>
    </row>
    <row r="16">
      <c r="A16" s="2" t="inlineStr"/>
      <c r="B16" s="2" t="inlineStr">
        <is>
          <t>Mac Cheese</t>
        </is>
      </c>
      <c r="C16" s="9" t="n">
        <v>6.5</v>
      </c>
      <c r="D16" s="9" t="inlineStr"/>
    </row>
    <row r="17">
      <c r="A17" s="2" t="inlineStr">
        <is>
          <t>Sweets</t>
        </is>
      </c>
      <c r="B17" s="2" t="inlineStr">
        <is>
          <t>Banana Pudding</t>
        </is>
      </c>
      <c r="C17" s="9" t="n">
        <v>4.9</v>
      </c>
      <c r="D17" s="9" t="inlineStr"/>
    </row>
    <row r="18">
      <c r="A18" s="2" t="inlineStr"/>
      <c r="B18" s="2" t="inlineStr">
        <is>
          <t>Glazed Donut</t>
        </is>
      </c>
      <c r="C18" s="9" t="n">
        <v>2.5</v>
      </c>
      <c r="D18" s="9" t="inlineStr"/>
    </row>
    <row r="19">
      <c r="A19" s="2" t="inlineStr">
        <is>
          <t>Milkshakes</t>
        </is>
      </c>
      <c r="B19" s="2" t="inlineStr">
        <is>
          <t>Milkshake</t>
        </is>
      </c>
      <c r="C19" s="9" t="n">
        <v>6</v>
      </c>
      <c r="D19" s="9" t="inlineStr"/>
    </row>
    <row r="20">
      <c r="A20" s="2" t="inlineStr">
        <is>
          <t>Drinks</t>
        </is>
      </c>
      <c r="B20" s="2" t="inlineStr">
        <is>
          <t>Water</t>
        </is>
      </c>
      <c r="C20" s="9" t="n">
        <v>2</v>
      </c>
      <c r="D20" s="9" t="inlineStr"/>
    </row>
    <row r="21">
      <c r="A21" s="2" t="inlineStr"/>
      <c r="B21" s="2" t="inlineStr">
        <is>
          <t>Free Refill</t>
        </is>
      </c>
      <c r="C21" s="9" t="n">
        <v>4.5</v>
      </c>
      <c r="D21" s="9" t="inlineStr"/>
    </row>
    <row r="22">
      <c r="A22" s="2" t="inlineStr"/>
      <c r="B22" s="2" t="inlineStr">
        <is>
          <t>Birra Raw</t>
        </is>
      </c>
      <c r="C22" s="9" t="n">
        <v>5.5</v>
      </c>
      <c r="D22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6" customWidth="1" min="4" max="4"/>
    <col width="16" customWidth="1" min="5" max="5"/>
  </cols>
  <sheetData>
    <row r="1">
      <c r="A1" s="8" t="inlineStr">
        <is>
          <t>Role</t>
        </is>
      </c>
      <c r="B1" s="8" t="inlineStr">
        <is>
          <t>Count</t>
        </is>
      </c>
      <c r="C1" s="8" t="inlineStr">
        <is>
          <t>Monthly Salary</t>
        </is>
      </c>
      <c r="D1" s="8" t="inlineStr">
        <is>
          <t>Total Monthly</t>
        </is>
      </c>
      <c r="E1" s="8" t="inlineStr">
        <is>
          <t>Loaded (x1.3)</t>
        </is>
      </c>
    </row>
    <row r="2">
      <c r="A2" s="2" t="inlineStr">
        <is>
          <t>Store Manager</t>
        </is>
      </c>
      <c r="B2" s="2" t="n">
        <v>1</v>
      </c>
      <c r="C2" s="2" t="n">
        <v>3500</v>
      </c>
      <c r="D2" s="2">
        <f>B3*C3</f>
        <v/>
      </c>
      <c r="E2" s="2">
        <f>D3*1.3</f>
        <v/>
      </c>
    </row>
    <row r="3">
      <c r="A3" s="2" t="inlineStr">
        <is>
          <t>Shift Leader</t>
        </is>
      </c>
      <c r="B3" s="2" t="n">
        <v>2</v>
      </c>
      <c r="C3" s="10" t="n">
        <v>2400</v>
      </c>
      <c r="D3" s="10">
        <f>B4*C4</f>
        <v/>
      </c>
      <c r="E3" s="10">
        <f>D4*1.3</f>
        <v/>
      </c>
    </row>
    <row r="4">
      <c r="A4" s="2" t="inlineStr">
        <is>
          <t>Crew</t>
        </is>
      </c>
      <c r="B4" s="2" t="n">
        <v>6</v>
      </c>
      <c r="C4" s="10" t="n">
        <v>1500</v>
      </c>
      <c r="D4" s="10">
        <f>B5*C5</f>
        <v/>
      </c>
      <c r="E4" s="10">
        <f>D5*1.3</f>
        <v/>
      </c>
    </row>
    <row r="5">
      <c r="A5" s="2" t="inlineStr">
        <is>
          <t>Total</t>
        </is>
      </c>
      <c r="B5" s="2">
        <f>SUM(B3:B5)</f>
        <v/>
      </c>
      <c r="C5" s="10" t="inlineStr"/>
      <c r="D5" s="10">
        <f>SUM(D3:D5)</f>
        <v/>
      </c>
      <c r="E5" s="10">
        <f>SUM(E3:E5)</f>
        <v/>
      </c>
    </row>
    <row r="6">
      <c r="A6" s="11" t="n"/>
      <c r="B6" s="11" t="n"/>
      <c r="C6" s="12" t="n"/>
      <c r="D6" s="12" t="n"/>
      <c r="E6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42" customWidth="1" min="40" max="40"/>
    <col width="42" customWidth="1" min="41" max="41"/>
    <col width="42" customWidth="1" min="42" max="42"/>
    <col width="42" customWidth="1" min="43" max="43"/>
    <col width="42" customWidth="1" min="44" max="44"/>
    <col width="42" customWidth="1" min="45" max="45"/>
    <col width="42" customWidth="1" min="46" max="46"/>
    <col width="42" customWidth="1" min="47" max="47"/>
    <col width="42" customWidth="1" min="48" max="48"/>
    <col width="42" customWidth="1" min="49" max="49"/>
    <col width="42" customWidth="1" min="50" max="50"/>
    <col width="42" customWidth="1" min="51" max="51"/>
    <col width="42" customWidth="1" min="52" max="52"/>
    <col width="42" customWidth="1" min="53" max="53"/>
    <col width="42" customWidth="1" min="54" max="54"/>
    <col width="42" customWidth="1" min="55" max="55"/>
    <col width="42" customWidth="1" min="56" max="56"/>
    <col width="42" customWidth="1" min="57" max="57"/>
    <col width="42" customWidth="1" min="58" max="58"/>
    <col width="42" customWidth="1" min="59" max="59"/>
    <col width="42" customWidth="1" min="60" max="60"/>
    <col width="3" customWidth="1" min="61" max="61"/>
    <col width="3" customWidth="1" min="62" max="62"/>
    <col width="3" customWidth="1" min="63" max="63"/>
  </cols>
  <sheetData>
    <row r="1">
      <c r="A1" s="13" t="n">
        <v>1</v>
      </c>
      <c r="B1" s="13" t="n">
        <v>2</v>
      </c>
      <c r="C1" s="13" t="n">
        <v>3</v>
      </c>
      <c r="D1" s="13" t="n">
        <v>4</v>
      </c>
      <c r="E1" s="13" t="n">
        <v>5</v>
      </c>
      <c r="F1" s="13" t="n">
        <v>6</v>
      </c>
      <c r="G1" s="13" t="n">
        <v>7</v>
      </c>
      <c r="H1" s="13" t="n">
        <v>8</v>
      </c>
      <c r="I1" s="13" t="n">
        <v>9</v>
      </c>
      <c r="J1" s="13" t="n">
        <v>10</v>
      </c>
      <c r="K1" s="13" t="n">
        <v>11</v>
      </c>
      <c r="L1" s="13" t="n">
        <v>12</v>
      </c>
      <c r="M1" s="13" t="n">
        <v>13</v>
      </c>
      <c r="N1" s="13" t="n">
        <v>14</v>
      </c>
      <c r="O1" s="13" t="n">
        <v>15</v>
      </c>
      <c r="P1" s="13" t="n">
        <v>16</v>
      </c>
      <c r="Q1" s="13" t="n">
        <v>17</v>
      </c>
      <c r="R1" s="13" t="n">
        <v>18</v>
      </c>
      <c r="S1" s="13" t="n">
        <v>19</v>
      </c>
      <c r="T1" s="13" t="n">
        <v>20</v>
      </c>
      <c r="U1" s="13" t="n">
        <v>21</v>
      </c>
      <c r="V1" s="13" t="n">
        <v>22</v>
      </c>
      <c r="W1" s="13" t="n">
        <v>23</v>
      </c>
      <c r="X1" s="13" t="n">
        <v>24</v>
      </c>
      <c r="Y1" s="13" t="n">
        <v>25</v>
      </c>
      <c r="Z1" s="13" t="n">
        <v>26</v>
      </c>
      <c r="AA1" s="13" t="n">
        <v>27</v>
      </c>
      <c r="AB1" s="13" t="n">
        <v>28</v>
      </c>
      <c r="AC1" s="13" t="n">
        <v>29</v>
      </c>
      <c r="AD1" s="13" t="n">
        <v>30</v>
      </c>
      <c r="AE1" s="13" t="n">
        <v>31</v>
      </c>
      <c r="AF1" s="13" t="n">
        <v>32</v>
      </c>
      <c r="AG1" s="13" t="n">
        <v>33</v>
      </c>
      <c r="AH1" s="13" t="n">
        <v>34</v>
      </c>
      <c r="AI1" s="13" t="n">
        <v>35</v>
      </c>
      <c r="AJ1" s="13" t="n">
        <v>36</v>
      </c>
      <c r="AK1" s="13" t="n">
        <v>37</v>
      </c>
      <c r="AL1" s="13" t="n">
        <v>38</v>
      </c>
      <c r="AM1" s="13" t="n">
        <v>39</v>
      </c>
      <c r="AN1" s="13" t="n">
        <v>40</v>
      </c>
      <c r="AO1" s="13" t="n">
        <v>41</v>
      </c>
      <c r="AP1" s="13" t="n">
        <v>42</v>
      </c>
      <c r="AQ1" s="13" t="n">
        <v>43</v>
      </c>
      <c r="AR1" s="13" t="n">
        <v>44</v>
      </c>
      <c r="AS1" s="13" t="n">
        <v>45</v>
      </c>
      <c r="AT1" s="13" t="n">
        <v>46</v>
      </c>
      <c r="AU1" s="13" t="n">
        <v>47</v>
      </c>
      <c r="AV1" s="13" t="n">
        <v>48</v>
      </c>
      <c r="AW1" s="13" t="n">
        <v>49</v>
      </c>
      <c r="AX1" s="13" t="n">
        <v>50</v>
      </c>
      <c r="AY1" s="13" t="n">
        <v>51</v>
      </c>
      <c r="AZ1" s="13" t="n">
        <v>52</v>
      </c>
      <c r="BA1" s="13" t="n">
        <v>53</v>
      </c>
      <c r="BB1" s="13" t="n">
        <v>54</v>
      </c>
      <c r="BC1" s="13" t="n">
        <v>55</v>
      </c>
      <c r="BD1" s="13" t="n">
        <v>56</v>
      </c>
      <c r="BE1" s="13" t="n">
        <v>57</v>
      </c>
      <c r="BF1" s="13" t="n">
        <v>58</v>
      </c>
      <c r="BG1" s="13" t="n">
        <v>59</v>
      </c>
      <c r="BH1" s="13" t="n">
        <v>60</v>
      </c>
      <c r="BI1" s="1" t="n"/>
      <c r="BJ1" s="1" t="n"/>
      <c r="BK1" s="1" t="n"/>
    </row>
    <row r="2">
      <c r="A2" s="14">
        <f>1+Assumptions!$B$21*SIN((1-1)*2*PI()/12)</f>
        <v/>
      </c>
      <c r="B2" s="15">
        <f>1+Assumptions!$B$21*SIN((2-1)*2*PI()/12)</f>
        <v/>
      </c>
      <c r="C2" s="15">
        <f>1+Assumptions!$B$21*SIN((3-1)*2*PI()/12)</f>
        <v/>
      </c>
      <c r="D2" s="15">
        <f>1+Assumptions!$B$21*SIN((4-1)*2*PI()/12)</f>
        <v/>
      </c>
      <c r="E2" s="15">
        <f>1+Assumptions!$B$21*SIN((5-1)*2*PI()/12)</f>
        <v/>
      </c>
      <c r="F2" s="15">
        <f>1+Assumptions!$B$21*SIN((6-1)*2*PI()/12)</f>
        <v/>
      </c>
      <c r="G2" s="15">
        <f>1+Assumptions!$B$21*SIN((7-1)*2*PI()/12)</f>
        <v/>
      </c>
      <c r="H2" s="15">
        <f>1+Assumptions!$B$21*SIN((8-1)*2*PI()/12)</f>
        <v/>
      </c>
      <c r="I2" s="15">
        <f>1+Assumptions!$B$21*SIN((9-1)*2*PI()/12)</f>
        <v/>
      </c>
      <c r="J2" s="15">
        <f>1+Assumptions!$B$21*SIN((10-1)*2*PI()/12)</f>
        <v/>
      </c>
      <c r="K2" s="15">
        <f>1+Assumptions!$B$21*SIN((11-1)*2*PI()/12)</f>
        <v/>
      </c>
      <c r="L2" s="15">
        <f>1+Assumptions!$B$21*SIN((12-1)*2*PI()/12)</f>
        <v/>
      </c>
      <c r="M2" s="15">
        <f>1+Assumptions!$B$21*SIN((13-1)*2*PI()/12)</f>
        <v/>
      </c>
      <c r="N2" s="15">
        <f>1+Assumptions!$B$21*SIN((14-1)*2*PI()/12)</f>
        <v/>
      </c>
      <c r="O2" s="15">
        <f>1+Assumptions!$B$21*SIN((15-1)*2*PI()/12)</f>
        <v/>
      </c>
      <c r="P2" s="15">
        <f>1+Assumptions!$B$21*SIN((16-1)*2*PI()/12)</f>
        <v/>
      </c>
      <c r="Q2" s="15">
        <f>1+Assumptions!$B$21*SIN((17-1)*2*PI()/12)</f>
        <v/>
      </c>
      <c r="R2" s="15">
        <f>1+Assumptions!$B$21*SIN((18-1)*2*PI()/12)</f>
        <v/>
      </c>
      <c r="S2" s="15">
        <f>1+Assumptions!$B$21*SIN((19-1)*2*PI()/12)</f>
        <v/>
      </c>
      <c r="T2" s="15">
        <f>1+Assumptions!$B$21*SIN((20-1)*2*PI()/12)</f>
        <v/>
      </c>
      <c r="U2" s="15">
        <f>1+Assumptions!$B$21*SIN((21-1)*2*PI()/12)</f>
        <v/>
      </c>
      <c r="V2" s="15">
        <f>1+Assumptions!$B$21*SIN((22-1)*2*PI()/12)</f>
        <v/>
      </c>
      <c r="W2" s="15">
        <f>1+Assumptions!$B$21*SIN((23-1)*2*PI()/12)</f>
        <v/>
      </c>
      <c r="X2" s="15">
        <f>1+Assumptions!$B$21*SIN((24-1)*2*PI()/12)</f>
        <v/>
      </c>
      <c r="Y2" s="15">
        <f>1+Assumptions!$B$21*SIN((25-1)*2*PI()/12)</f>
        <v/>
      </c>
      <c r="Z2" s="15">
        <f>1+Assumptions!$B$21*SIN((26-1)*2*PI()/12)</f>
        <v/>
      </c>
      <c r="AA2" s="15">
        <f>1+Assumptions!$B$21*SIN((27-1)*2*PI()/12)</f>
        <v/>
      </c>
      <c r="AB2" s="15">
        <f>1+Assumptions!$B$21*SIN((28-1)*2*PI()/12)</f>
        <v/>
      </c>
      <c r="AC2" s="15">
        <f>1+Assumptions!$B$21*SIN((29-1)*2*PI()/12)</f>
        <v/>
      </c>
      <c r="AD2" s="15">
        <f>1+Assumptions!$B$21*SIN((30-1)*2*PI()/12)</f>
        <v/>
      </c>
      <c r="AE2" s="15">
        <f>1+Assumptions!$B$21*SIN((31-1)*2*PI()/12)</f>
        <v/>
      </c>
      <c r="AF2" s="15">
        <f>1+Assumptions!$B$21*SIN((32-1)*2*PI()/12)</f>
        <v/>
      </c>
      <c r="AG2" s="15">
        <f>1+Assumptions!$B$21*SIN((33-1)*2*PI()/12)</f>
        <v/>
      </c>
      <c r="AH2" s="15">
        <f>1+Assumptions!$B$21*SIN((34-1)*2*PI()/12)</f>
        <v/>
      </c>
      <c r="AI2" s="15">
        <f>1+Assumptions!$B$21*SIN((35-1)*2*PI()/12)</f>
        <v/>
      </c>
      <c r="AJ2" s="15">
        <f>1+Assumptions!$B$21*SIN((36-1)*2*PI()/12)</f>
        <v/>
      </c>
      <c r="AK2" s="15">
        <f>1+Assumptions!$B$21*SIN((37-1)*2*PI()/12)</f>
        <v/>
      </c>
      <c r="AL2" s="15">
        <f>1+Assumptions!$B$21*SIN((38-1)*2*PI()/12)</f>
        <v/>
      </c>
      <c r="AM2" s="15">
        <f>1+Assumptions!$B$21*SIN((39-1)*2*PI()/12)</f>
        <v/>
      </c>
      <c r="AN2" s="15">
        <f>1+Assumptions!$B$21*SIN((40-1)*2*PI()/12)</f>
        <v/>
      </c>
      <c r="AO2" s="15">
        <f>1+Assumptions!$B$21*SIN((41-1)*2*PI()/12)</f>
        <v/>
      </c>
      <c r="AP2" s="15">
        <f>1+Assumptions!$B$21*SIN((42-1)*2*PI()/12)</f>
        <v/>
      </c>
      <c r="AQ2" s="15">
        <f>1+Assumptions!$B$21*SIN((43-1)*2*PI()/12)</f>
        <v/>
      </c>
      <c r="AR2" s="15">
        <f>1+Assumptions!$B$21*SIN((44-1)*2*PI()/12)</f>
        <v/>
      </c>
      <c r="AS2" s="15">
        <f>1+Assumptions!$B$21*SIN((45-1)*2*PI()/12)</f>
        <v/>
      </c>
      <c r="AT2" s="15">
        <f>1+Assumptions!$B$21*SIN((46-1)*2*PI()/12)</f>
        <v/>
      </c>
      <c r="AU2" s="15">
        <f>1+Assumptions!$B$21*SIN((47-1)*2*PI()/12)</f>
        <v/>
      </c>
      <c r="AV2" s="15">
        <f>1+Assumptions!$B$21*SIN((48-1)*2*PI()/12)</f>
        <v/>
      </c>
      <c r="AW2" s="15">
        <f>1+Assumptions!$B$21*SIN((49-1)*2*PI()/12)</f>
        <v/>
      </c>
      <c r="AX2" s="15">
        <f>1+Assumptions!$B$21*SIN((50-1)*2*PI()/12)</f>
        <v/>
      </c>
      <c r="AY2" s="15">
        <f>1+Assumptions!$B$21*SIN((51-1)*2*PI()/12)</f>
        <v/>
      </c>
      <c r="AZ2" s="15">
        <f>1+Assumptions!$B$21*SIN((52-1)*2*PI()/12)</f>
        <v/>
      </c>
      <c r="BA2" s="15">
        <f>1+Assumptions!$B$21*SIN((53-1)*2*PI()/12)</f>
        <v/>
      </c>
      <c r="BB2" s="15">
        <f>1+Assumptions!$B$21*SIN((54-1)*2*PI()/12)</f>
        <v/>
      </c>
      <c r="BC2" s="15">
        <f>1+Assumptions!$B$21*SIN((55-1)*2*PI()/12)</f>
        <v/>
      </c>
      <c r="BD2" s="15">
        <f>1+Assumptions!$B$21*SIN((56-1)*2*PI()/12)</f>
        <v/>
      </c>
      <c r="BE2" s="15">
        <f>1+Assumptions!$B$21*SIN((57-1)*2*PI()/12)</f>
        <v/>
      </c>
      <c r="BF2" s="15">
        <f>1+Assumptions!$B$21*SIN((58-1)*2*PI()/12)</f>
        <v/>
      </c>
      <c r="BG2" s="15">
        <f>1+Assumptions!$B$21*SIN((59-1)*2*PI()/12)</f>
        <v/>
      </c>
      <c r="BH2" s="15">
        <f>1+Assumptions!$B$21*SIN((60-1)*2*PI()/12)</f>
        <v/>
      </c>
      <c r="BI2" s="2" t="n"/>
      <c r="BJ2" s="2" t="n"/>
      <c r="BK2" s="2" t="n"/>
    </row>
    <row r="3">
      <c r="A3" s="16">
        <f>Assumptions!$B$14</f>
        <v/>
      </c>
      <c r="B3" s="17">
        <f>Assumptions!$B$14</f>
        <v/>
      </c>
      <c r="C3" s="17">
        <f>Assumptions!$B$14</f>
        <v/>
      </c>
      <c r="D3" s="17">
        <f>Assumptions!$B$14</f>
        <v/>
      </c>
      <c r="E3" s="17">
        <f>Assumptions!$B$14</f>
        <v/>
      </c>
      <c r="F3" s="17">
        <f>Assumptions!$B$14</f>
        <v/>
      </c>
      <c r="G3" s="17">
        <f>Assumptions!$B$14</f>
        <v/>
      </c>
      <c r="H3" s="17">
        <f>Assumptions!$B$14</f>
        <v/>
      </c>
      <c r="I3" s="17">
        <f>Assumptions!$B$14</f>
        <v/>
      </c>
      <c r="J3" s="17">
        <f>Assumptions!$B$14</f>
        <v/>
      </c>
      <c r="K3" s="17">
        <f>Assumptions!$B$14</f>
        <v/>
      </c>
      <c r="L3" s="17">
        <f>Assumptions!$B$14</f>
        <v/>
      </c>
      <c r="M3" s="17">
        <f>Assumptions!$B$14</f>
        <v/>
      </c>
      <c r="N3" s="17">
        <f>Assumptions!$B$14</f>
        <v/>
      </c>
      <c r="O3" s="17">
        <f>Assumptions!$B$14</f>
        <v/>
      </c>
      <c r="P3" s="17">
        <f>Assumptions!$B$14</f>
        <v/>
      </c>
      <c r="Q3" s="17">
        <f>Assumptions!$B$14</f>
        <v/>
      </c>
      <c r="R3" s="17">
        <f>Assumptions!$B$14</f>
        <v/>
      </c>
      <c r="S3" s="17">
        <f>Assumptions!$B$14</f>
        <v/>
      </c>
      <c r="T3" s="17">
        <f>Assumptions!$B$14</f>
        <v/>
      </c>
      <c r="U3" s="17">
        <f>Assumptions!$B$14</f>
        <v/>
      </c>
      <c r="V3" s="17">
        <f>Assumptions!$B$14</f>
        <v/>
      </c>
      <c r="W3" s="17">
        <f>Assumptions!$B$14</f>
        <v/>
      </c>
      <c r="X3" s="17">
        <f>Assumptions!$B$14</f>
        <v/>
      </c>
      <c r="Y3" s="17">
        <f>Assumptions!$B$14</f>
        <v/>
      </c>
      <c r="Z3" s="17">
        <f>Assumptions!$B$14</f>
        <v/>
      </c>
      <c r="AA3" s="17">
        <f>Assumptions!$B$14</f>
        <v/>
      </c>
      <c r="AB3" s="17">
        <f>Assumptions!$B$14</f>
        <v/>
      </c>
      <c r="AC3" s="17">
        <f>Assumptions!$B$14</f>
        <v/>
      </c>
      <c r="AD3" s="17">
        <f>Assumptions!$B$14</f>
        <v/>
      </c>
      <c r="AE3" s="17">
        <f>Assumptions!$B$14</f>
        <v/>
      </c>
      <c r="AF3" s="17">
        <f>Assumptions!$B$14</f>
        <v/>
      </c>
      <c r="AG3" s="17">
        <f>Assumptions!$B$14</f>
        <v/>
      </c>
      <c r="AH3" s="17">
        <f>Assumptions!$B$14</f>
        <v/>
      </c>
      <c r="AI3" s="17">
        <f>Assumptions!$B$14</f>
        <v/>
      </c>
      <c r="AJ3" s="17">
        <f>Assumptions!$B$14</f>
        <v/>
      </c>
      <c r="AK3" s="17">
        <f>Assumptions!$B$14</f>
        <v/>
      </c>
      <c r="AL3" s="17">
        <f>Assumptions!$B$14</f>
        <v/>
      </c>
      <c r="AM3" s="17">
        <f>Assumptions!$B$14</f>
        <v/>
      </c>
      <c r="AN3" s="17">
        <f>Assumptions!$B$14</f>
        <v/>
      </c>
      <c r="AO3" s="17">
        <f>Assumptions!$B$14</f>
        <v/>
      </c>
      <c r="AP3" s="17">
        <f>Assumptions!$B$14</f>
        <v/>
      </c>
      <c r="AQ3" s="17">
        <f>Assumptions!$B$14</f>
        <v/>
      </c>
      <c r="AR3" s="17">
        <f>Assumptions!$B$14</f>
        <v/>
      </c>
      <c r="AS3" s="17">
        <f>Assumptions!$B$14</f>
        <v/>
      </c>
      <c r="AT3" s="17">
        <f>Assumptions!$B$14</f>
        <v/>
      </c>
      <c r="AU3" s="17">
        <f>Assumptions!$B$14</f>
        <v/>
      </c>
      <c r="AV3" s="17">
        <f>Assumptions!$B$14</f>
        <v/>
      </c>
      <c r="AW3" s="17">
        <f>Assumptions!$B$14</f>
        <v/>
      </c>
      <c r="AX3" s="17">
        <f>Assumptions!$B$14</f>
        <v/>
      </c>
      <c r="AY3" s="17">
        <f>Assumptions!$B$14</f>
        <v/>
      </c>
      <c r="AZ3" s="17">
        <f>Assumptions!$B$14</f>
        <v/>
      </c>
      <c r="BA3" s="17">
        <f>Assumptions!$B$14</f>
        <v/>
      </c>
      <c r="BB3" s="17">
        <f>Assumptions!$B$14</f>
        <v/>
      </c>
      <c r="BC3" s="17">
        <f>Assumptions!$B$14</f>
        <v/>
      </c>
      <c r="BD3" s="17">
        <f>Assumptions!$B$14</f>
        <v/>
      </c>
      <c r="BE3" s="17">
        <f>Assumptions!$B$14</f>
        <v/>
      </c>
      <c r="BF3" s="17">
        <f>Assumptions!$B$14</f>
        <v/>
      </c>
      <c r="BG3" s="17">
        <f>Assumptions!$B$14</f>
        <v/>
      </c>
      <c r="BH3" s="17">
        <f>Assumptions!$B$14</f>
        <v/>
      </c>
      <c r="BI3" s="2" t="n"/>
      <c r="BJ3" s="2" t="n"/>
      <c r="BK3" s="2" t="n"/>
    </row>
    <row r="4">
      <c r="A4" s="16">
        <f>Assumptions!$B$9</f>
        <v/>
      </c>
      <c r="B4" s="17">
        <f>Assumptions!$B$9</f>
        <v/>
      </c>
      <c r="C4" s="17">
        <f>Assumptions!$B$9</f>
        <v/>
      </c>
      <c r="D4" s="17">
        <f>Assumptions!$B$9</f>
        <v/>
      </c>
      <c r="E4" s="17">
        <f>Assumptions!$B$9</f>
        <v/>
      </c>
      <c r="F4" s="17">
        <f>Assumptions!$B$9</f>
        <v/>
      </c>
      <c r="G4" s="17">
        <f>Assumptions!$B$9</f>
        <v/>
      </c>
      <c r="H4" s="17">
        <f>Assumptions!$B$9</f>
        <v/>
      </c>
      <c r="I4" s="17">
        <f>Assumptions!$B$9</f>
        <v/>
      </c>
      <c r="J4" s="17">
        <f>Assumptions!$B$9</f>
        <v/>
      </c>
      <c r="K4" s="17">
        <f>Assumptions!$B$9</f>
        <v/>
      </c>
      <c r="L4" s="17">
        <f>Assumptions!$B$9</f>
        <v/>
      </c>
      <c r="M4" s="17">
        <f>Assumptions!$B$9*(1+Assumptions!$B$18)</f>
        <v/>
      </c>
      <c r="N4" s="17">
        <f>Assumptions!$B$9*(1+Assumptions!$B$18)</f>
        <v/>
      </c>
      <c r="O4" s="17">
        <f>Assumptions!$B$9*(1+Assumptions!$B$18)</f>
        <v/>
      </c>
      <c r="P4" s="17">
        <f>Assumptions!$B$9*(1+Assumptions!$B$18)</f>
        <v/>
      </c>
      <c r="Q4" s="17">
        <f>Assumptions!$B$9*(1+Assumptions!$B$18)</f>
        <v/>
      </c>
      <c r="R4" s="17">
        <f>Assumptions!$B$9*(1+Assumptions!$B$18)</f>
        <v/>
      </c>
      <c r="S4" s="17">
        <f>Assumptions!$B$9*(1+Assumptions!$B$18)</f>
        <v/>
      </c>
      <c r="T4" s="17">
        <f>Assumptions!$B$9*(1+Assumptions!$B$18)</f>
        <v/>
      </c>
      <c r="U4" s="17">
        <f>Assumptions!$B$9*(1+Assumptions!$B$18)</f>
        <v/>
      </c>
      <c r="V4" s="17">
        <f>Assumptions!$B$9*(1+Assumptions!$B$18)</f>
        <v/>
      </c>
      <c r="W4" s="17">
        <f>Assumptions!$B$9*(1+Assumptions!$B$18)</f>
        <v/>
      </c>
      <c r="X4" s="17">
        <f>Assumptions!$B$9*(1+Assumptions!$B$18)</f>
        <v/>
      </c>
      <c r="Y4" s="17">
        <f>Assumptions!$B$9*(1+Assumptions!$B$18)*(1+Assumptions!$B$19)</f>
        <v/>
      </c>
      <c r="Z4" s="17">
        <f>Assumptions!$B$9*(1+Assumptions!$B$18)*(1+Assumptions!$B$19)</f>
        <v/>
      </c>
      <c r="AA4" s="17">
        <f>Assumptions!$B$9*(1+Assumptions!$B$18)*(1+Assumptions!$B$19)</f>
        <v/>
      </c>
      <c r="AB4" s="17">
        <f>Assumptions!$B$9*(1+Assumptions!$B$18)*(1+Assumptions!$B$19)</f>
        <v/>
      </c>
      <c r="AC4" s="17">
        <f>Assumptions!$B$9*(1+Assumptions!$B$18)*(1+Assumptions!$B$19)</f>
        <v/>
      </c>
      <c r="AD4" s="17">
        <f>Assumptions!$B$9*(1+Assumptions!$B$18)*(1+Assumptions!$B$19)</f>
        <v/>
      </c>
      <c r="AE4" s="17">
        <f>Assumptions!$B$9*(1+Assumptions!$B$18)*(1+Assumptions!$B$19)</f>
        <v/>
      </c>
      <c r="AF4" s="17">
        <f>Assumptions!$B$9*(1+Assumptions!$B$18)*(1+Assumptions!$B$19)</f>
        <v/>
      </c>
      <c r="AG4" s="17">
        <f>Assumptions!$B$9*(1+Assumptions!$B$18)*(1+Assumptions!$B$19)</f>
        <v/>
      </c>
      <c r="AH4" s="17">
        <f>Assumptions!$B$9*(1+Assumptions!$B$18)*(1+Assumptions!$B$19)</f>
        <v/>
      </c>
      <c r="AI4" s="17">
        <f>Assumptions!$B$9*(1+Assumptions!$B$18)*(1+Assumptions!$B$19)</f>
        <v/>
      </c>
      <c r="AJ4" s="17">
        <f>Assumptions!$B$9*(1+Assumptions!$B$18)*(1+Assumptions!$B$19)</f>
        <v/>
      </c>
      <c r="AK4" s="17">
        <f>Assumptions!$B$9*(1+Assumptions!$B$18)*(1+Assumptions!$B$19)*(1+Assumptions!$B$20)^(FLOOR((37-1)/12,1)-2)</f>
        <v/>
      </c>
      <c r="AL4" s="17">
        <f>Assumptions!$B$9*(1+Assumptions!$B$18)*(1+Assumptions!$B$19)*(1+Assumptions!$B$20)^(FLOOR((38-1)/12,1)-2)</f>
        <v/>
      </c>
      <c r="AM4" s="17">
        <f>Assumptions!$B$9*(1+Assumptions!$B$18)*(1+Assumptions!$B$19)*(1+Assumptions!$B$20)^(FLOOR((39-1)/12,1)-2)</f>
        <v/>
      </c>
      <c r="AN4" s="17">
        <f>Assumptions!$B$9*(1+Assumptions!$B$18)*(1+Assumptions!$B$19)*(1+Assumptions!$B$20)^(FLOOR((40-1)/12,1)-2)</f>
        <v/>
      </c>
      <c r="AO4" s="17">
        <f>Assumptions!$B$9*(1+Assumptions!$B$18)*(1+Assumptions!$B$19)*(1+Assumptions!$B$20)^(FLOOR((41-1)/12,1)-2)</f>
        <v/>
      </c>
      <c r="AP4" s="17">
        <f>Assumptions!$B$9*(1+Assumptions!$B$18)*(1+Assumptions!$B$19)*(1+Assumptions!$B$20)^(FLOOR((42-1)/12,1)-2)</f>
        <v/>
      </c>
      <c r="AQ4" s="17">
        <f>Assumptions!$B$9*(1+Assumptions!$B$18)*(1+Assumptions!$B$19)*(1+Assumptions!$B$20)^(FLOOR((43-1)/12,1)-2)</f>
        <v/>
      </c>
      <c r="AR4" s="17">
        <f>Assumptions!$B$9*(1+Assumptions!$B$18)*(1+Assumptions!$B$19)*(1+Assumptions!$B$20)^(FLOOR((44-1)/12,1)-2)</f>
        <v/>
      </c>
      <c r="AS4" s="17">
        <f>Assumptions!$B$9*(1+Assumptions!$B$18)*(1+Assumptions!$B$19)*(1+Assumptions!$B$20)^(FLOOR((45-1)/12,1)-2)</f>
        <v/>
      </c>
      <c r="AT4" s="17">
        <f>Assumptions!$B$9*(1+Assumptions!$B$18)*(1+Assumptions!$B$19)*(1+Assumptions!$B$20)^(FLOOR((46-1)/12,1)-2)</f>
        <v/>
      </c>
      <c r="AU4" s="17">
        <f>Assumptions!$B$9*(1+Assumptions!$B$18)*(1+Assumptions!$B$19)*(1+Assumptions!$B$20)^(FLOOR((47-1)/12,1)-2)</f>
        <v/>
      </c>
      <c r="AV4" s="17">
        <f>Assumptions!$B$9*(1+Assumptions!$B$18)*(1+Assumptions!$B$19)*(1+Assumptions!$B$20)^(FLOOR((48-1)/12,1)-2)</f>
        <v/>
      </c>
      <c r="AW4" s="17">
        <f>Assumptions!$B$9*(1+Assumptions!$B$18)*(1+Assumptions!$B$19)*(1+Assumptions!$B$20)^(FLOOR((49-1)/12,1)-2)</f>
        <v/>
      </c>
      <c r="AX4" s="17">
        <f>Assumptions!$B$9*(1+Assumptions!$B$18)*(1+Assumptions!$B$19)*(1+Assumptions!$B$20)^(FLOOR((50-1)/12,1)-2)</f>
        <v/>
      </c>
      <c r="AY4" s="17">
        <f>Assumptions!$B$9*(1+Assumptions!$B$18)*(1+Assumptions!$B$19)*(1+Assumptions!$B$20)^(FLOOR((51-1)/12,1)-2)</f>
        <v/>
      </c>
      <c r="AZ4" s="17">
        <f>Assumptions!$B$9*(1+Assumptions!$B$18)*(1+Assumptions!$B$19)*(1+Assumptions!$B$20)^(FLOOR((52-1)/12,1)-2)</f>
        <v/>
      </c>
      <c r="BA4" s="17">
        <f>Assumptions!$B$9*(1+Assumptions!$B$18)*(1+Assumptions!$B$19)*(1+Assumptions!$B$20)^(FLOOR((53-1)/12,1)-2)</f>
        <v/>
      </c>
      <c r="BB4" s="17">
        <f>Assumptions!$B$9*(1+Assumptions!$B$18)*(1+Assumptions!$B$19)*(1+Assumptions!$B$20)^(FLOOR((54-1)/12,1)-2)</f>
        <v/>
      </c>
      <c r="BC4" s="17">
        <f>Assumptions!$B$9*(1+Assumptions!$B$18)*(1+Assumptions!$B$19)*(1+Assumptions!$B$20)^(FLOOR((55-1)/12,1)-2)</f>
        <v/>
      </c>
      <c r="BD4" s="17">
        <f>Assumptions!$B$9*(1+Assumptions!$B$18)*(1+Assumptions!$B$19)*(1+Assumptions!$B$20)^(FLOOR((56-1)/12,1)-2)</f>
        <v/>
      </c>
      <c r="BE4" s="17">
        <f>Assumptions!$B$9*(1+Assumptions!$B$18)*(1+Assumptions!$B$19)*(1+Assumptions!$B$20)^(FLOOR((57-1)/12,1)-2)</f>
        <v/>
      </c>
      <c r="BF4" s="17">
        <f>Assumptions!$B$9*(1+Assumptions!$B$18)*(1+Assumptions!$B$19)*(1+Assumptions!$B$20)^(FLOOR((58-1)/12,1)-2)</f>
        <v/>
      </c>
      <c r="BG4" s="17">
        <f>Assumptions!$B$9*(1+Assumptions!$B$18)*(1+Assumptions!$B$19)*(1+Assumptions!$B$20)^(FLOOR((59-1)/12,1)-2)</f>
        <v/>
      </c>
      <c r="BH4" s="17">
        <f>Assumptions!$B$9*(1+Assumptions!$B$18)*(1+Assumptions!$B$19)*(1+Assumptions!$B$20)^(FLOOR((60-1)/12,1)-2)</f>
        <v/>
      </c>
      <c r="BI4" s="2" t="n"/>
      <c r="BJ4" s="2" t="n"/>
      <c r="BK4" s="2" t="n"/>
    </row>
    <row r="5">
      <c r="A5" s="18">
        <f>Assumptions!$B$8</f>
        <v/>
      </c>
      <c r="B5" s="9">
        <f>Assumptions!$B$8</f>
        <v/>
      </c>
      <c r="C5" s="9">
        <f>Assumptions!$B$8</f>
        <v/>
      </c>
      <c r="D5" s="9">
        <f>Assumptions!$B$8</f>
        <v/>
      </c>
      <c r="E5" s="9">
        <f>Assumptions!$B$8</f>
        <v/>
      </c>
      <c r="F5" s="9">
        <f>Assumptions!$B$8</f>
        <v/>
      </c>
      <c r="G5" s="9">
        <f>Assumptions!$B$8</f>
        <v/>
      </c>
      <c r="H5" s="9">
        <f>Assumptions!$B$8</f>
        <v/>
      </c>
      <c r="I5" s="9">
        <f>Assumptions!$B$8</f>
        <v/>
      </c>
      <c r="J5" s="9">
        <f>Assumptions!$B$8</f>
        <v/>
      </c>
      <c r="K5" s="9">
        <f>Assumptions!$B$8</f>
        <v/>
      </c>
      <c r="L5" s="9">
        <f>Assumptions!$B$8</f>
        <v/>
      </c>
      <c r="M5" s="9">
        <f>Assumptions!$B$8*(1+Assumptions!$B$18)</f>
        <v/>
      </c>
      <c r="N5" s="9">
        <f>Assumptions!$B$8*(1+Assumptions!$B$18)</f>
        <v/>
      </c>
      <c r="O5" s="9">
        <f>Assumptions!$B$8*(1+Assumptions!$B$18)</f>
        <v/>
      </c>
      <c r="P5" s="9">
        <f>Assumptions!$B$8*(1+Assumptions!$B$18)</f>
        <v/>
      </c>
      <c r="Q5" s="9">
        <f>Assumptions!$B$8*(1+Assumptions!$B$18)</f>
        <v/>
      </c>
      <c r="R5" s="9">
        <f>Assumptions!$B$8*(1+Assumptions!$B$18)</f>
        <v/>
      </c>
      <c r="S5" s="9">
        <f>Assumptions!$B$8*(1+Assumptions!$B$18)</f>
        <v/>
      </c>
      <c r="T5" s="9">
        <f>Assumptions!$B$8*(1+Assumptions!$B$18)</f>
        <v/>
      </c>
      <c r="U5" s="9">
        <f>Assumptions!$B$8*(1+Assumptions!$B$18)</f>
        <v/>
      </c>
      <c r="V5" s="9">
        <f>Assumptions!$B$8*(1+Assumptions!$B$18)</f>
        <v/>
      </c>
      <c r="W5" s="9">
        <f>Assumptions!$B$8*(1+Assumptions!$B$18)</f>
        <v/>
      </c>
      <c r="X5" s="9">
        <f>Assumptions!$B$8*(1+Assumptions!$B$18)</f>
        <v/>
      </c>
      <c r="Y5" s="9">
        <f>Assumptions!$B$8*(1+Assumptions!$B$18)*(1+Assumptions!$B$19)</f>
        <v/>
      </c>
      <c r="Z5" s="9">
        <f>Assumptions!$B$8*(1+Assumptions!$B$18)*(1+Assumptions!$B$19)</f>
        <v/>
      </c>
      <c r="AA5" s="9">
        <f>Assumptions!$B$8*(1+Assumptions!$B$18)*(1+Assumptions!$B$19)</f>
        <v/>
      </c>
      <c r="AB5" s="9">
        <f>Assumptions!$B$8*(1+Assumptions!$B$18)*(1+Assumptions!$B$19)</f>
        <v/>
      </c>
      <c r="AC5" s="9">
        <f>Assumptions!$B$8*(1+Assumptions!$B$18)*(1+Assumptions!$B$19)</f>
        <v/>
      </c>
      <c r="AD5" s="9">
        <f>Assumptions!$B$8*(1+Assumptions!$B$18)*(1+Assumptions!$B$19)</f>
        <v/>
      </c>
      <c r="AE5" s="9">
        <f>Assumptions!$B$8*(1+Assumptions!$B$18)*(1+Assumptions!$B$19)</f>
        <v/>
      </c>
      <c r="AF5" s="9">
        <f>Assumptions!$B$8*(1+Assumptions!$B$18)*(1+Assumptions!$B$19)</f>
        <v/>
      </c>
      <c r="AG5" s="9">
        <f>Assumptions!$B$8*(1+Assumptions!$B$18)*(1+Assumptions!$B$19)</f>
        <v/>
      </c>
      <c r="AH5" s="9">
        <f>Assumptions!$B$8*(1+Assumptions!$B$18)*(1+Assumptions!$B$19)</f>
        <v/>
      </c>
      <c r="AI5" s="9">
        <f>Assumptions!$B$8*(1+Assumptions!$B$18)*(1+Assumptions!$B$19)</f>
        <v/>
      </c>
      <c r="AJ5" s="9">
        <f>Assumptions!$B$8*(1+Assumptions!$B$18)*(1+Assumptions!$B$19)</f>
        <v/>
      </c>
      <c r="AK5" s="9">
        <f>Assumptions!$B$8*(1+Assumptions!$B$18)*(1+Assumptions!$B$19)*(1+Assumptions!$B$20)^(FLOOR((37-1)/12,1)-2)</f>
        <v/>
      </c>
      <c r="AL5" s="9">
        <f>Assumptions!$B$8*(1+Assumptions!$B$18)*(1+Assumptions!$B$19)*(1+Assumptions!$B$20)^(FLOOR((38-1)/12,1)-2)</f>
        <v/>
      </c>
      <c r="AM5" s="9">
        <f>Assumptions!$B$8*(1+Assumptions!$B$18)*(1+Assumptions!$B$19)*(1+Assumptions!$B$20)^(FLOOR((39-1)/12,1)-2)</f>
        <v/>
      </c>
      <c r="AN5" s="9">
        <f>Assumptions!$B$8*(1+Assumptions!$B$18)*(1+Assumptions!$B$19)*(1+Assumptions!$B$20)^(FLOOR((40-1)/12,1)-2)</f>
        <v/>
      </c>
      <c r="AO5" s="9">
        <f>Assumptions!$B$8*(1+Assumptions!$B$18)*(1+Assumptions!$B$19)*(1+Assumptions!$B$20)^(FLOOR((41-1)/12,1)-2)</f>
        <v/>
      </c>
      <c r="AP5" s="9">
        <f>Assumptions!$B$8*(1+Assumptions!$B$18)*(1+Assumptions!$B$19)*(1+Assumptions!$B$20)^(FLOOR((42-1)/12,1)-2)</f>
        <v/>
      </c>
      <c r="AQ5" s="9">
        <f>Assumptions!$B$8*(1+Assumptions!$B$18)*(1+Assumptions!$B$19)*(1+Assumptions!$B$20)^(FLOOR((43-1)/12,1)-2)</f>
        <v/>
      </c>
      <c r="AR5" s="9">
        <f>Assumptions!$B$8*(1+Assumptions!$B$18)*(1+Assumptions!$B$19)*(1+Assumptions!$B$20)^(FLOOR((44-1)/12,1)-2)</f>
        <v/>
      </c>
      <c r="AS5" s="9">
        <f>Assumptions!$B$8*(1+Assumptions!$B$18)*(1+Assumptions!$B$19)*(1+Assumptions!$B$20)^(FLOOR((45-1)/12,1)-2)</f>
        <v/>
      </c>
      <c r="AT5" s="9">
        <f>Assumptions!$B$8*(1+Assumptions!$B$18)*(1+Assumptions!$B$19)*(1+Assumptions!$B$20)^(FLOOR((46-1)/12,1)-2)</f>
        <v/>
      </c>
      <c r="AU5" s="9">
        <f>Assumptions!$B$8*(1+Assumptions!$B$18)*(1+Assumptions!$B$19)*(1+Assumptions!$B$20)^(FLOOR((47-1)/12,1)-2)</f>
        <v/>
      </c>
      <c r="AV5" s="9">
        <f>Assumptions!$B$8*(1+Assumptions!$B$18)*(1+Assumptions!$B$19)*(1+Assumptions!$B$20)^(FLOOR((48-1)/12,1)-2)</f>
        <v/>
      </c>
      <c r="AW5" s="9">
        <f>Assumptions!$B$8*(1+Assumptions!$B$18)*(1+Assumptions!$B$19)*(1+Assumptions!$B$20)^(FLOOR((49-1)/12,1)-2)</f>
        <v/>
      </c>
      <c r="AX5" s="9">
        <f>Assumptions!$B$8*(1+Assumptions!$B$18)*(1+Assumptions!$B$19)*(1+Assumptions!$B$20)^(FLOOR((50-1)/12,1)-2)</f>
        <v/>
      </c>
      <c r="AY5" s="9">
        <f>Assumptions!$B$8*(1+Assumptions!$B$18)*(1+Assumptions!$B$19)*(1+Assumptions!$B$20)^(FLOOR((51-1)/12,1)-2)</f>
        <v/>
      </c>
      <c r="AZ5" s="9">
        <f>Assumptions!$B$8*(1+Assumptions!$B$18)*(1+Assumptions!$B$19)*(1+Assumptions!$B$20)^(FLOOR((52-1)/12,1)-2)</f>
        <v/>
      </c>
      <c r="BA5" s="9">
        <f>Assumptions!$B$8*(1+Assumptions!$B$18)*(1+Assumptions!$B$19)*(1+Assumptions!$B$20)^(FLOOR((53-1)/12,1)-2)</f>
        <v/>
      </c>
      <c r="BB5" s="9">
        <f>Assumptions!$B$8*(1+Assumptions!$B$18)*(1+Assumptions!$B$19)*(1+Assumptions!$B$20)^(FLOOR((54-1)/12,1)-2)</f>
        <v/>
      </c>
      <c r="BC5" s="9">
        <f>Assumptions!$B$8*(1+Assumptions!$B$18)*(1+Assumptions!$B$19)*(1+Assumptions!$B$20)^(FLOOR((55-1)/12,1)-2)</f>
        <v/>
      </c>
      <c r="BD5" s="9">
        <f>Assumptions!$B$8*(1+Assumptions!$B$18)*(1+Assumptions!$B$19)*(1+Assumptions!$B$20)^(FLOOR((56-1)/12,1)-2)</f>
        <v/>
      </c>
      <c r="BE5" s="9">
        <f>Assumptions!$B$8*(1+Assumptions!$B$18)*(1+Assumptions!$B$19)*(1+Assumptions!$B$20)^(FLOOR((57-1)/12,1)-2)</f>
        <v/>
      </c>
      <c r="BF5" s="9">
        <f>Assumptions!$B$8*(1+Assumptions!$B$18)*(1+Assumptions!$B$19)*(1+Assumptions!$B$20)^(FLOOR((58-1)/12,1)-2)</f>
        <v/>
      </c>
      <c r="BG5" s="9">
        <f>Assumptions!$B$8*(1+Assumptions!$B$18)*(1+Assumptions!$B$19)*(1+Assumptions!$B$20)^(FLOOR((59-1)/12,1)-2)</f>
        <v/>
      </c>
      <c r="BH5" s="9">
        <f>Assumptions!$B$8*(1+Assumptions!$B$18)*(1+Assumptions!$B$19)*(1+Assumptions!$B$20)^(FLOOR((60-1)/12,1)-2)</f>
        <v/>
      </c>
      <c r="BI5" s="2" t="n"/>
      <c r="BJ5" s="2" t="n"/>
      <c r="BK5" s="2" t="n"/>
    </row>
    <row r="6">
      <c r="A6" s="19">
        <f>A4*A3*A5*A2</f>
        <v/>
      </c>
      <c r="B6" s="10">
        <f>B4*B3*B5*B2</f>
        <v/>
      </c>
      <c r="C6" s="10">
        <f>C4*C3*C5*C2</f>
        <v/>
      </c>
      <c r="D6" s="10">
        <f>D4*D3*D5*D2</f>
        <v/>
      </c>
      <c r="E6" s="10">
        <f>E4*E3*E5*E2</f>
        <v/>
      </c>
      <c r="F6" s="10">
        <f>F4*F3*F5*F2</f>
        <v/>
      </c>
      <c r="G6" s="10">
        <f>G4*G3*G5*G2</f>
        <v/>
      </c>
      <c r="H6" s="10">
        <f>H4*H3*H5*H2</f>
        <v/>
      </c>
      <c r="I6" s="10">
        <f>I4*I3*I5*I2</f>
        <v/>
      </c>
      <c r="J6" s="10">
        <f>J4*J3*J5*J2</f>
        <v/>
      </c>
      <c r="K6" s="10">
        <f>K4*K3*K5*K2</f>
        <v/>
      </c>
      <c r="L6" s="10">
        <f>L4*L3*L5*L2</f>
        <v/>
      </c>
      <c r="M6" s="10">
        <f>M4*M3*M5*M2</f>
        <v/>
      </c>
      <c r="N6" s="10">
        <f>N4*N3*N5*N2</f>
        <v/>
      </c>
      <c r="O6" s="10">
        <f>O4*O3*O5*O2</f>
        <v/>
      </c>
      <c r="P6" s="10">
        <f>P4*P3*P5*P2</f>
        <v/>
      </c>
      <c r="Q6" s="10">
        <f>Q4*Q3*Q5*Q2</f>
        <v/>
      </c>
      <c r="R6" s="10">
        <f>R4*R3*R5*R2</f>
        <v/>
      </c>
      <c r="S6" s="10">
        <f>S4*S3*S5*S2</f>
        <v/>
      </c>
      <c r="T6" s="10">
        <f>T4*T3*T5*T2</f>
        <v/>
      </c>
      <c r="U6" s="10">
        <f>U4*U3*U5*U2</f>
        <v/>
      </c>
      <c r="V6" s="10">
        <f>V4*V3*V5*V2</f>
        <v/>
      </c>
      <c r="W6" s="10">
        <f>W4*W3*W5*W2</f>
        <v/>
      </c>
      <c r="X6" s="10">
        <f>X4*X3*X5*X2</f>
        <v/>
      </c>
      <c r="Y6" s="10">
        <f>Y4*Y3*Y5*Y2</f>
        <v/>
      </c>
      <c r="Z6" s="10">
        <f>Z4*Z3*Z5*Z2</f>
        <v/>
      </c>
      <c r="AA6" s="10">
        <f>AA4*AA3*AA5*AA2</f>
        <v/>
      </c>
      <c r="AB6" s="10">
        <f>AB4*AB3*AB5*AB2</f>
        <v/>
      </c>
      <c r="AC6" s="10">
        <f>AC4*AC3*AC5*AC2</f>
        <v/>
      </c>
      <c r="AD6" s="10">
        <f>AD4*AD3*AD5*AD2</f>
        <v/>
      </c>
      <c r="AE6" s="10">
        <f>AE4*AE3*AE5*AE2</f>
        <v/>
      </c>
      <c r="AF6" s="10">
        <f>AF4*AF3*AF5*AF2</f>
        <v/>
      </c>
      <c r="AG6" s="10">
        <f>AG4*AG3*AG5*AG2</f>
        <v/>
      </c>
      <c r="AH6" s="10">
        <f>AH4*AH3*AH5*AH2</f>
        <v/>
      </c>
      <c r="AI6" s="10">
        <f>AI4*AI3*AI5*AI2</f>
        <v/>
      </c>
      <c r="AJ6" s="10">
        <f>AJ4*AJ3*AJ5*AJ2</f>
        <v/>
      </c>
      <c r="AK6" s="10">
        <f>AK4*AK3*AK5*AK2</f>
        <v/>
      </c>
      <c r="AL6" s="10">
        <f>AL4*AL3*AL5*AL2</f>
        <v/>
      </c>
      <c r="AM6" s="10">
        <f>AM4*AM3*AM5*AM2</f>
        <v/>
      </c>
      <c r="AN6" s="10">
        <f>AN4*AN3*AN5*AN2</f>
        <v/>
      </c>
      <c r="AO6" s="10">
        <f>AO4*AO3*AO5*AO2</f>
        <v/>
      </c>
      <c r="AP6" s="10">
        <f>AP4*AP3*AP5*AP2</f>
        <v/>
      </c>
      <c r="AQ6" s="10">
        <f>AQ4*AQ3*AQ5*AQ2</f>
        <v/>
      </c>
      <c r="AR6" s="10">
        <f>AR4*AR3*AR5*AR2</f>
        <v/>
      </c>
      <c r="AS6" s="10">
        <f>AS4*AS3*AS5*AS2</f>
        <v/>
      </c>
      <c r="AT6" s="10">
        <f>AT4*AT3*AT5*AT2</f>
        <v/>
      </c>
      <c r="AU6" s="10">
        <f>AU4*AU3*AU5*AU2</f>
        <v/>
      </c>
      <c r="AV6" s="10">
        <f>AV4*AV3*AV5*AV2</f>
        <v/>
      </c>
      <c r="AW6" s="10">
        <f>AW4*AW3*AW5*AW2</f>
        <v/>
      </c>
      <c r="AX6" s="10">
        <f>AX4*AX3*AX5*AX2</f>
        <v/>
      </c>
      <c r="AY6" s="10">
        <f>AY4*AY3*AY5*AY2</f>
        <v/>
      </c>
      <c r="AZ6" s="10">
        <f>AZ4*AZ3*AZ5*AZ2</f>
        <v/>
      </c>
      <c r="BA6" s="10">
        <f>BA4*BA3*BA5*BA2</f>
        <v/>
      </c>
      <c r="BB6" s="10">
        <f>BB4*BB3*BB5*BB2</f>
        <v/>
      </c>
      <c r="BC6" s="10">
        <f>BC4*BC3*BC5*BC2</f>
        <v/>
      </c>
      <c r="BD6" s="10">
        <f>BD4*BD3*BD5*BD2</f>
        <v/>
      </c>
      <c r="BE6" s="10">
        <f>BE4*BE3*BE5*BE2</f>
        <v/>
      </c>
      <c r="BF6" s="10">
        <f>BF4*BF3*BF5*BF2</f>
        <v/>
      </c>
      <c r="BG6" s="10">
        <f>BG4*BG3*BG5*BG2</f>
        <v/>
      </c>
      <c r="BH6" s="10">
        <f>BH4*BH3*BH5*BH2</f>
        <v/>
      </c>
      <c r="BI6" s="2" t="n"/>
      <c r="BJ6" s="2" t="n"/>
      <c r="BK6" s="2" t="n"/>
    </row>
    <row r="7">
      <c r="A7" s="11" t="inlineStr">
        <is>
          <t>Total Revenue Year 1</t>
        </is>
      </c>
      <c r="B7" s="10">
        <f>SUM(B6:M6)</f>
        <v/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</row>
    <row r="8">
      <c r="A8" s="11" t="inlineStr">
        <is>
          <t>Total Revenue Year 2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10">
        <f>SUM(N6:Y6)</f>
        <v/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</row>
    <row r="9">
      <c r="A9" s="11" t="inlineStr">
        <is>
          <t>Total Revenue Year 3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10">
        <f>SUM(Z6:AK6)</f>
        <v/>
      </c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</row>
    <row r="10">
      <c r="A10" s="11" t="inlineStr">
        <is>
          <t>Total Revenue Year 4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10">
        <f>SUM(AL6:AW6)</f>
        <v/>
      </c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</row>
    <row r="11">
      <c r="A11" s="11" t="inlineStr">
        <is>
          <t>Total Revenue Year 5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10">
        <f>SUM(AX6:BK6)</f>
        <v/>
      </c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42" customWidth="1" min="40" max="40"/>
    <col width="42" customWidth="1" min="41" max="41"/>
    <col width="42" customWidth="1" min="42" max="42"/>
    <col width="42" customWidth="1" min="43" max="43"/>
    <col width="42" customWidth="1" min="44" max="44"/>
    <col width="42" customWidth="1" min="45" max="45"/>
    <col width="42" customWidth="1" min="46" max="46"/>
    <col width="42" customWidth="1" min="47" max="47"/>
    <col width="42" customWidth="1" min="48" max="48"/>
    <col width="42" customWidth="1" min="49" max="49"/>
    <col width="42" customWidth="1" min="50" max="50"/>
    <col width="42" customWidth="1" min="51" max="51"/>
    <col width="42" customWidth="1" min="52" max="52"/>
    <col width="42" customWidth="1" min="53" max="53"/>
    <col width="42" customWidth="1" min="54" max="54"/>
    <col width="42" customWidth="1" min="55" max="55"/>
    <col width="42" customWidth="1" min="56" max="56"/>
    <col width="42" customWidth="1" min="57" max="57"/>
    <col width="42" customWidth="1" min="58" max="58"/>
    <col width="42" customWidth="1" min="59" max="59"/>
    <col width="42" customWidth="1" min="60" max="60"/>
    <col width="3" customWidth="1" min="61" max="61"/>
    <col width="3" customWidth="1" min="62" max="62"/>
    <col width="3" customWidth="1" min="63" max="63"/>
    <col width="3" customWidth="1" min="64" max="64"/>
    <col width="16" customWidth="1" min="65" max="65"/>
    <col width="16" customWidth="1" min="66" max="66"/>
    <col width="17" customWidth="1" min="67" max="67"/>
    <col width="18" customWidth="1" min="68" max="68"/>
    <col width="18" customWidth="1" min="69" max="69"/>
  </cols>
  <sheetData>
    <row r="1">
      <c r="A1" s="16" t="n">
        <v>1</v>
      </c>
      <c r="B1" s="17" t="n">
        <v>2</v>
      </c>
      <c r="C1" s="17" t="n">
        <v>3</v>
      </c>
      <c r="D1" s="17" t="n">
        <v>4</v>
      </c>
      <c r="E1" s="17" t="n">
        <v>5</v>
      </c>
      <c r="F1" s="17" t="n">
        <v>6</v>
      </c>
      <c r="G1" s="17" t="n">
        <v>7</v>
      </c>
      <c r="H1" s="17" t="n">
        <v>8</v>
      </c>
      <c r="I1" s="17" t="n">
        <v>9</v>
      </c>
      <c r="J1" s="17" t="n">
        <v>10</v>
      </c>
      <c r="K1" s="17" t="n">
        <v>11</v>
      </c>
      <c r="L1" s="17" t="n">
        <v>12</v>
      </c>
      <c r="M1" s="17" t="n">
        <v>13</v>
      </c>
      <c r="N1" s="17" t="n">
        <v>14</v>
      </c>
      <c r="O1" s="17" t="n">
        <v>15</v>
      </c>
      <c r="P1" s="17" t="n">
        <v>16</v>
      </c>
      <c r="Q1" s="17" t="n">
        <v>17</v>
      </c>
      <c r="R1" s="17" t="n">
        <v>18</v>
      </c>
      <c r="S1" s="17" t="n">
        <v>19</v>
      </c>
      <c r="T1" s="17" t="n">
        <v>20</v>
      </c>
      <c r="U1" s="17" t="n">
        <v>21</v>
      </c>
      <c r="V1" s="17" t="n">
        <v>22</v>
      </c>
      <c r="W1" s="17" t="n">
        <v>23</v>
      </c>
      <c r="X1" s="17" t="n">
        <v>24</v>
      </c>
      <c r="Y1" s="17" t="n">
        <v>25</v>
      </c>
      <c r="Z1" s="17" t="n">
        <v>26</v>
      </c>
      <c r="AA1" s="17" t="n">
        <v>27</v>
      </c>
      <c r="AB1" s="17" t="n">
        <v>28</v>
      </c>
      <c r="AC1" s="17" t="n">
        <v>29</v>
      </c>
      <c r="AD1" s="17" t="n">
        <v>30</v>
      </c>
      <c r="AE1" s="17" t="n">
        <v>31</v>
      </c>
      <c r="AF1" s="17" t="n">
        <v>32</v>
      </c>
      <c r="AG1" s="17" t="n">
        <v>33</v>
      </c>
      <c r="AH1" s="17" t="n">
        <v>34</v>
      </c>
      <c r="AI1" s="17" t="n">
        <v>35</v>
      </c>
      <c r="AJ1" s="17" t="n">
        <v>36</v>
      </c>
      <c r="AK1" s="17" t="n">
        <v>37</v>
      </c>
      <c r="AL1" s="17" t="n">
        <v>38</v>
      </c>
      <c r="AM1" s="17" t="n">
        <v>39</v>
      </c>
      <c r="AN1" s="17" t="n">
        <v>40</v>
      </c>
      <c r="AO1" s="17" t="n">
        <v>41</v>
      </c>
      <c r="AP1" s="17" t="n">
        <v>42</v>
      </c>
      <c r="AQ1" s="17" t="n">
        <v>43</v>
      </c>
      <c r="AR1" s="17" t="n">
        <v>44</v>
      </c>
      <c r="AS1" s="17" t="n">
        <v>45</v>
      </c>
      <c r="AT1" s="17" t="n">
        <v>46</v>
      </c>
      <c r="AU1" s="17" t="n">
        <v>47</v>
      </c>
      <c r="AV1" s="17" t="n">
        <v>48</v>
      </c>
      <c r="AW1" s="17" t="n">
        <v>49</v>
      </c>
      <c r="AX1" s="17" t="n">
        <v>50</v>
      </c>
      <c r="AY1" s="17" t="n">
        <v>51</v>
      </c>
      <c r="AZ1" s="17" t="n">
        <v>52</v>
      </c>
      <c r="BA1" s="17" t="n">
        <v>53</v>
      </c>
      <c r="BB1" s="17" t="n">
        <v>54</v>
      </c>
      <c r="BC1" s="17" t="n">
        <v>55</v>
      </c>
      <c r="BD1" s="17" t="n">
        <v>56</v>
      </c>
      <c r="BE1" s="17" t="n">
        <v>57</v>
      </c>
      <c r="BF1" s="17" t="n">
        <v>58</v>
      </c>
      <c r="BG1" s="17" t="n">
        <v>59</v>
      </c>
      <c r="BH1" s="17" t="n">
        <v>60</v>
      </c>
      <c r="BI1" s="2" t="n"/>
      <c r="BJ1" s="2" t="n"/>
      <c r="BK1" s="2" t="n"/>
    </row>
    <row r="2">
      <c r="A2" s="19">
        <f>Revenue!A6</f>
        <v/>
      </c>
      <c r="B2" s="10">
        <f>Revenue!B6</f>
        <v/>
      </c>
      <c r="C2" s="10">
        <f>Revenue!C6</f>
        <v/>
      </c>
      <c r="D2" s="10">
        <f>Revenue!D6</f>
        <v/>
      </c>
      <c r="E2" s="10">
        <f>Revenue!E6</f>
        <v/>
      </c>
      <c r="F2" s="10">
        <f>Revenue!F6</f>
        <v/>
      </c>
      <c r="G2" s="10">
        <f>Revenue!G6</f>
        <v/>
      </c>
      <c r="H2" s="10">
        <f>Revenue!H6</f>
        <v/>
      </c>
      <c r="I2" s="10">
        <f>Revenue!I6</f>
        <v/>
      </c>
      <c r="J2" s="10">
        <f>Revenue!J6</f>
        <v/>
      </c>
      <c r="K2" s="10">
        <f>Revenue!K6</f>
        <v/>
      </c>
      <c r="L2" s="10">
        <f>Revenue!L6</f>
        <v/>
      </c>
      <c r="M2" s="10">
        <f>Revenue!M6</f>
        <v/>
      </c>
      <c r="N2" s="10">
        <f>Revenue!N6</f>
        <v/>
      </c>
      <c r="O2" s="10">
        <f>Revenue!O6</f>
        <v/>
      </c>
      <c r="P2" s="10">
        <f>Revenue!P6</f>
        <v/>
      </c>
      <c r="Q2" s="10">
        <f>Revenue!Q6</f>
        <v/>
      </c>
      <c r="R2" s="10">
        <f>Revenue!R6</f>
        <v/>
      </c>
      <c r="S2" s="10">
        <f>Revenue!S6</f>
        <v/>
      </c>
      <c r="T2" s="10">
        <f>Revenue!T6</f>
        <v/>
      </c>
      <c r="U2" s="10">
        <f>Revenue!U6</f>
        <v/>
      </c>
      <c r="V2" s="10">
        <f>Revenue!V6</f>
        <v/>
      </c>
      <c r="W2" s="10">
        <f>Revenue!W6</f>
        <v/>
      </c>
      <c r="X2" s="10">
        <f>Revenue!X6</f>
        <v/>
      </c>
      <c r="Y2" s="10">
        <f>Revenue!Y6</f>
        <v/>
      </c>
      <c r="Z2" s="10">
        <f>Revenue!Z6</f>
        <v/>
      </c>
      <c r="AA2" s="10">
        <f>Revenue!AA6</f>
        <v/>
      </c>
      <c r="AB2" s="10">
        <f>Revenue!AB6</f>
        <v/>
      </c>
      <c r="AC2" s="10">
        <f>Revenue!AC6</f>
        <v/>
      </c>
      <c r="AD2" s="10">
        <f>Revenue!AD6</f>
        <v/>
      </c>
      <c r="AE2" s="10">
        <f>Revenue!AE6</f>
        <v/>
      </c>
      <c r="AF2" s="10">
        <f>Revenue!AF6</f>
        <v/>
      </c>
      <c r="AG2" s="10">
        <f>Revenue!AG6</f>
        <v/>
      </c>
      <c r="AH2" s="10">
        <f>Revenue!AH6</f>
        <v/>
      </c>
      <c r="AI2" s="10">
        <f>Revenue!AI6</f>
        <v/>
      </c>
      <c r="AJ2" s="10">
        <f>Revenue!AJ6</f>
        <v/>
      </c>
      <c r="AK2" s="10">
        <f>Revenue!AK6</f>
        <v/>
      </c>
      <c r="AL2" s="10">
        <f>Revenue!AL6</f>
        <v/>
      </c>
      <c r="AM2" s="10">
        <f>Revenue!AM6</f>
        <v/>
      </c>
      <c r="AN2" s="10">
        <f>Revenue!AN6</f>
        <v/>
      </c>
      <c r="AO2" s="10">
        <f>Revenue!AO6</f>
        <v/>
      </c>
      <c r="AP2" s="10">
        <f>Revenue!AP6</f>
        <v/>
      </c>
      <c r="AQ2" s="10">
        <f>Revenue!AQ6</f>
        <v/>
      </c>
      <c r="AR2" s="10">
        <f>Revenue!AR6</f>
        <v/>
      </c>
      <c r="AS2" s="10">
        <f>Revenue!AS6</f>
        <v/>
      </c>
      <c r="AT2" s="10">
        <f>Revenue!AT6</f>
        <v/>
      </c>
      <c r="AU2" s="10">
        <f>Revenue!AU6</f>
        <v/>
      </c>
      <c r="AV2" s="10">
        <f>Revenue!AV6</f>
        <v/>
      </c>
      <c r="AW2" s="10">
        <f>Revenue!AW6</f>
        <v/>
      </c>
      <c r="AX2" s="10">
        <f>Revenue!AX6</f>
        <v/>
      </c>
      <c r="AY2" s="10">
        <f>Revenue!AY6</f>
        <v/>
      </c>
      <c r="AZ2" s="10">
        <f>Revenue!AZ6</f>
        <v/>
      </c>
      <c r="BA2" s="10">
        <f>Revenue!BA6</f>
        <v/>
      </c>
      <c r="BB2" s="10">
        <f>Revenue!BB6</f>
        <v/>
      </c>
      <c r="BC2" s="10">
        <f>Revenue!BC6</f>
        <v/>
      </c>
      <c r="BD2" s="10">
        <f>Revenue!BD6</f>
        <v/>
      </c>
      <c r="BE2" s="10">
        <f>Revenue!BE6</f>
        <v/>
      </c>
      <c r="BF2" s="10">
        <f>Revenue!BF6</f>
        <v/>
      </c>
      <c r="BG2" s="10">
        <f>Revenue!BG6</f>
        <v/>
      </c>
      <c r="BH2" s="10">
        <f>Revenue!BH6</f>
        <v/>
      </c>
      <c r="BI2" s="2" t="n"/>
      <c r="BJ2" s="2" t="n"/>
      <c r="BK2" s="2" t="n"/>
    </row>
    <row r="3">
      <c r="A3" s="19">
        <f>A2*Assumptions!$B$4</f>
        <v/>
      </c>
      <c r="B3" s="10">
        <f>B2*Assumptions!$B$4</f>
        <v/>
      </c>
      <c r="C3" s="10">
        <f>C2*Assumptions!$B$4</f>
        <v/>
      </c>
      <c r="D3" s="10">
        <f>D2*Assumptions!$B$4</f>
        <v/>
      </c>
      <c r="E3" s="10">
        <f>E2*Assumptions!$B$4</f>
        <v/>
      </c>
      <c r="F3" s="10">
        <f>F2*Assumptions!$B$4</f>
        <v/>
      </c>
      <c r="G3" s="10">
        <f>G2*Assumptions!$B$4</f>
        <v/>
      </c>
      <c r="H3" s="10">
        <f>H2*Assumptions!$B$4</f>
        <v/>
      </c>
      <c r="I3" s="10">
        <f>I2*Assumptions!$B$4</f>
        <v/>
      </c>
      <c r="J3" s="10">
        <f>J2*Assumptions!$B$4</f>
        <v/>
      </c>
      <c r="K3" s="10">
        <f>K2*Assumptions!$B$4</f>
        <v/>
      </c>
      <c r="L3" s="10">
        <f>L2*Assumptions!$B$4</f>
        <v/>
      </c>
      <c r="M3" s="10">
        <f>M2*Assumptions!$B$4</f>
        <v/>
      </c>
      <c r="N3" s="10">
        <f>N2*Assumptions!$B$4</f>
        <v/>
      </c>
      <c r="O3" s="10">
        <f>O2*Assumptions!$B$4</f>
        <v/>
      </c>
      <c r="P3" s="10">
        <f>P2*Assumptions!$B$4</f>
        <v/>
      </c>
      <c r="Q3" s="10">
        <f>Q2*Assumptions!$B$4</f>
        <v/>
      </c>
      <c r="R3" s="10">
        <f>R2*Assumptions!$B$4</f>
        <v/>
      </c>
      <c r="S3" s="10">
        <f>S2*Assumptions!$B$4</f>
        <v/>
      </c>
      <c r="T3" s="10">
        <f>T2*Assumptions!$B$4</f>
        <v/>
      </c>
      <c r="U3" s="10">
        <f>U2*Assumptions!$B$4</f>
        <v/>
      </c>
      <c r="V3" s="10">
        <f>V2*Assumptions!$B$4</f>
        <v/>
      </c>
      <c r="W3" s="10">
        <f>W2*Assumptions!$B$4</f>
        <v/>
      </c>
      <c r="X3" s="10">
        <f>X2*Assumptions!$B$4</f>
        <v/>
      </c>
      <c r="Y3" s="10">
        <f>Y2*Assumptions!$B$4</f>
        <v/>
      </c>
      <c r="Z3" s="10">
        <f>Z2*Assumptions!$B$4</f>
        <v/>
      </c>
      <c r="AA3" s="10">
        <f>AA2*Assumptions!$B$4</f>
        <v/>
      </c>
      <c r="AB3" s="10">
        <f>AB2*Assumptions!$B$4</f>
        <v/>
      </c>
      <c r="AC3" s="10">
        <f>AC2*Assumptions!$B$4</f>
        <v/>
      </c>
      <c r="AD3" s="10">
        <f>AD2*Assumptions!$B$4</f>
        <v/>
      </c>
      <c r="AE3" s="10">
        <f>AE2*Assumptions!$B$4</f>
        <v/>
      </c>
      <c r="AF3" s="10">
        <f>AF2*Assumptions!$B$4</f>
        <v/>
      </c>
      <c r="AG3" s="10">
        <f>AG2*Assumptions!$B$4</f>
        <v/>
      </c>
      <c r="AH3" s="10">
        <f>AH2*Assumptions!$B$4</f>
        <v/>
      </c>
      <c r="AI3" s="10">
        <f>AI2*Assumptions!$B$4</f>
        <v/>
      </c>
      <c r="AJ3" s="10">
        <f>AJ2*Assumptions!$B$4</f>
        <v/>
      </c>
      <c r="AK3" s="10">
        <f>AK2*Assumptions!$B$4</f>
        <v/>
      </c>
      <c r="AL3" s="10">
        <f>AL2*Assumptions!$B$4</f>
        <v/>
      </c>
      <c r="AM3" s="10">
        <f>AM2*Assumptions!$B$4</f>
        <v/>
      </c>
      <c r="AN3" s="10">
        <f>AN2*Assumptions!$B$4</f>
        <v/>
      </c>
      <c r="AO3" s="10">
        <f>AO2*Assumptions!$B$4</f>
        <v/>
      </c>
      <c r="AP3" s="10">
        <f>AP2*Assumptions!$B$4</f>
        <v/>
      </c>
      <c r="AQ3" s="10">
        <f>AQ2*Assumptions!$B$4</f>
        <v/>
      </c>
      <c r="AR3" s="10">
        <f>AR2*Assumptions!$B$4</f>
        <v/>
      </c>
      <c r="AS3" s="10">
        <f>AS2*Assumptions!$B$4</f>
        <v/>
      </c>
      <c r="AT3" s="10">
        <f>AT2*Assumptions!$B$4</f>
        <v/>
      </c>
      <c r="AU3" s="10">
        <f>AU2*Assumptions!$B$4</f>
        <v/>
      </c>
      <c r="AV3" s="10">
        <f>AV2*Assumptions!$B$4</f>
        <v/>
      </c>
      <c r="AW3" s="10">
        <f>AW2*Assumptions!$B$4</f>
        <v/>
      </c>
      <c r="AX3" s="10">
        <f>AX2*Assumptions!$B$4</f>
        <v/>
      </c>
      <c r="AY3" s="10">
        <f>AY2*Assumptions!$B$4</f>
        <v/>
      </c>
      <c r="AZ3" s="10">
        <f>AZ2*Assumptions!$B$4</f>
        <v/>
      </c>
      <c r="BA3" s="10">
        <f>BA2*Assumptions!$B$4</f>
        <v/>
      </c>
      <c r="BB3" s="10">
        <f>BB2*Assumptions!$B$4</f>
        <v/>
      </c>
      <c r="BC3" s="10">
        <f>BC2*Assumptions!$B$4</f>
        <v/>
      </c>
      <c r="BD3" s="10">
        <f>BD2*Assumptions!$B$4</f>
        <v/>
      </c>
      <c r="BE3" s="10">
        <f>BE2*Assumptions!$B$4</f>
        <v/>
      </c>
      <c r="BF3" s="10">
        <f>BF2*Assumptions!$B$4</f>
        <v/>
      </c>
      <c r="BG3" s="10">
        <f>BG2*Assumptions!$B$4</f>
        <v/>
      </c>
      <c r="BH3" s="10">
        <f>BH2*Assumptions!$B$4</f>
        <v/>
      </c>
      <c r="BI3" s="2" t="n"/>
      <c r="BJ3" s="2" t="n"/>
      <c r="BK3" s="2" t="n"/>
    </row>
    <row r="4">
      <c r="A4" s="19">
        <f>A2*Assumptions!$B$5</f>
        <v/>
      </c>
      <c r="B4" s="10">
        <f>B2*Assumptions!$B$5</f>
        <v/>
      </c>
      <c r="C4" s="10">
        <f>C2*Assumptions!$B$5</f>
        <v/>
      </c>
      <c r="D4" s="10">
        <f>D2*Assumptions!$B$5</f>
        <v/>
      </c>
      <c r="E4" s="10">
        <f>E2*Assumptions!$B$5</f>
        <v/>
      </c>
      <c r="F4" s="10">
        <f>F2*Assumptions!$B$5</f>
        <v/>
      </c>
      <c r="G4" s="10">
        <f>G2*Assumptions!$B$5</f>
        <v/>
      </c>
      <c r="H4" s="10">
        <f>H2*Assumptions!$B$5</f>
        <v/>
      </c>
      <c r="I4" s="10">
        <f>I2*Assumptions!$B$5</f>
        <v/>
      </c>
      <c r="J4" s="10">
        <f>J2*Assumptions!$B$5</f>
        <v/>
      </c>
      <c r="K4" s="10">
        <f>K2*Assumptions!$B$5</f>
        <v/>
      </c>
      <c r="L4" s="10">
        <f>L2*Assumptions!$B$5</f>
        <v/>
      </c>
      <c r="M4" s="10">
        <f>M2*Assumptions!$B$5</f>
        <v/>
      </c>
      <c r="N4" s="10">
        <f>N2*Assumptions!$B$5</f>
        <v/>
      </c>
      <c r="O4" s="10">
        <f>O2*Assumptions!$B$5</f>
        <v/>
      </c>
      <c r="P4" s="10">
        <f>P2*Assumptions!$B$5</f>
        <v/>
      </c>
      <c r="Q4" s="10">
        <f>Q2*Assumptions!$B$5</f>
        <v/>
      </c>
      <c r="R4" s="10">
        <f>R2*Assumptions!$B$5</f>
        <v/>
      </c>
      <c r="S4" s="10">
        <f>S2*Assumptions!$B$5</f>
        <v/>
      </c>
      <c r="T4" s="10">
        <f>T2*Assumptions!$B$5</f>
        <v/>
      </c>
      <c r="U4" s="10">
        <f>U2*Assumptions!$B$5</f>
        <v/>
      </c>
      <c r="V4" s="10">
        <f>V2*Assumptions!$B$5</f>
        <v/>
      </c>
      <c r="W4" s="10">
        <f>W2*Assumptions!$B$5</f>
        <v/>
      </c>
      <c r="X4" s="10">
        <f>X2*Assumptions!$B$5</f>
        <v/>
      </c>
      <c r="Y4" s="10">
        <f>Y2*Assumptions!$B$5</f>
        <v/>
      </c>
      <c r="Z4" s="10">
        <f>Z2*Assumptions!$B$5</f>
        <v/>
      </c>
      <c r="AA4" s="10">
        <f>AA2*Assumptions!$B$5</f>
        <v/>
      </c>
      <c r="AB4" s="10">
        <f>AB2*Assumptions!$B$5</f>
        <v/>
      </c>
      <c r="AC4" s="10">
        <f>AC2*Assumptions!$B$5</f>
        <v/>
      </c>
      <c r="AD4" s="10">
        <f>AD2*Assumptions!$B$5</f>
        <v/>
      </c>
      <c r="AE4" s="10">
        <f>AE2*Assumptions!$B$5</f>
        <v/>
      </c>
      <c r="AF4" s="10">
        <f>AF2*Assumptions!$B$5</f>
        <v/>
      </c>
      <c r="AG4" s="10">
        <f>AG2*Assumptions!$B$5</f>
        <v/>
      </c>
      <c r="AH4" s="10">
        <f>AH2*Assumptions!$B$5</f>
        <v/>
      </c>
      <c r="AI4" s="10">
        <f>AI2*Assumptions!$B$5</f>
        <v/>
      </c>
      <c r="AJ4" s="10">
        <f>AJ2*Assumptions!$B$5</f>
        <v/>
      </c>
      <c r="AK4" s="10">
        <f>AK2*Assumptions!$B$5</f>
        <v/>
      </c>
      <c r="AL4" s="10">
        <f>AL2*Assumptions!$B$5</f>
        <v/>
      </c>
      <c r="AM4" s="10">
        <f>AM2*Assumptions!$B$5</f>
        <v/>
      </c>
      <c r="AN4" s="10">
        <f>AN2*Assumptions!$B$5</f>
        <v/>
      </c>
      <c r="AO4" s="10">
        <f>AO2*Assumptions!$B$5</f>
        <v/>
      </c>
      <c r="AP4" s="10">
        <f>AP2*Assumptions!$B$5</f>
        <v/>
      </c>
      <c r="AQ4" s="10">
        <f>AQ2*Assumptions!$B$5</f>
        <v/>
      </c>
      <c r="AR4" s="10">
        <f>AR2*Assumptions!$B$5</f>
        <v/>
      </c>
      <c r="AS4" s="10">
        <f>AS2*Assumptions!$B$5</f>
        <v/>
      </c>
      <c r="AT4" s="10">
        <f>AT2*Assumptions!$B$5</f>
        <v/>
      </c>
      <c r="AU4" s="10">
        <f>AU2*Assumptions!$B$5</f>
        <v/>
      </c>
      <c r="AV4" s="10">
        <f>AV2*Assumptions!$B$5</f>
        <v/>
      </c>
      <c r="AW4" s="10">
        <f>AW2*Assumptions!$B$5</f>
        <v/>
      </c>
      <c r="AX4" s="10">
        <f>AX2*Assumptions!$B$5</f>
        <v/>
      </c>
      <c r="AY4" s="10">
        <f>AY2*Assumptions!$B$5</f>
        <v/>
      </c>
      <c r="AZ4" s="10">
        <f>AZ2*Assumptions!$B$5</f>
        <v/>
      </c>
      <c r="BA4" s="10">
        <f>BA2*Assumptions!$B$5</f>
        <v/>
      </c>
      <c r="BB4" s="10">
        <f>BB2*Assumptions!$B$5</f>
        <v/>
      </c>
      <c r="BC4" s="10">
        <f>BC2*Assumptions!$B$5</f>
        <v/>
      </c>
      <c r="BD4" s="10">
        <f>BD2*Assumptions!$B$5</f>
        <v/>
      </c>
      <c r="BE4" s="10">
        <f>BE2*Assumptions!$B$5</f>
        <v/>
      </c>
      <c r="BF4" s="10">
        <f>BF2*Assumptions!$B$5</f>
        <v/>
      </c>
      <c r="BG4" s="10">
        <f>BG2*Assumptions!$B$5</f>
        <v/>
      </c>
      <c r="BH4" s="10">
        <f>BH2*Assumptions!$B$5</f>
        <v/>
      </c>
      <c r="BI4" s="2" t="n"/>
      <c r="BJ4" s="2" t="n"/>
      <c r="BK4" s="2" t="n"/>
    </row>
    <row r="5">
      <c r="A5" s="19">
        <f>Assumptions!$B$3</f>
        <v/>
      </c>
      <c r="B5" s="10">
        <f>Assumptions!$B$3</f>
        <v/>
      </c>
      <c r="C5" s="10">
        <f>Assumptions!$B$3</f>
        <v/>
      </c>
      <c r="D5" s="10">
        <f>Assumptions!$B$3</f>
        <v/>
      </c>
      <c r="E5" s="10">
        <f>Assumptions!$B$3</f>
        <v/>
      </c>
      <c r="F5" s="10">
        <f>Assumptions!$B$3</f>
        <v/>
      </c>
      <c r="G5" s="10">
        <f>Assumptions!$B$3</f>
        <v/>
      </c>
      <c r="H5" s="10">
        <f>Assumptions!$B$3</f>
        <v/>
      </c>
      <c r="I5" s="10">
        <f>Assumptions!$B$3</f>
        <v/>
      </c>
      <c r="J5" s="10">
        <f>Assumptions!$B$3</f>
        <v/>
      </c>
      <c r="K5" s="10">
        <f>Assumptions!$B$3</f>
        <v/>
      </c>
      <c r="L5" s="10">
        <f>Assumptions!$B$3</f>
        <v/>
      </c>
      <c r="M5" s="10">
        <f>Assumptions!$B$3</f>
        <v/>
      </c>
      <c r="N5" s="10">
        <f>Assumptions!$B$3</f>
        <v/>
      </c>
      <c r="O5" s="10">
        <f>Assumptions!$B$3</f>
        <v/>
      </c>
      <c r="P5" s="10">
        <f>Assumptions!$B$3</f>
        <v/>
      </c>
      <c r="Q5" s="10">
        <f>Assumptions!$B$3</f>
        <v/>
      </c>
      <c r="R5" s="10">
        <f>Assumptions!$B$3</f>
        <v/>
      </c>
      <c r="S5" s="10">
        <f>Assumptions!$B$3</f>
        <v/>
      </c>
      <c r="T5" s="10">
        <f>Assumptions!$B$3</f>
        <v/>
      </c>
      <c r="U5" s="10">
        <f>Assumptions!$B$3</f>
        <v/>
      </c>
      <c r="V5" s="10">
        <f>Assumptions!$B$3</f>
        <v/>
      </c>
      <c r="W5" s="10">
        <f>Assumptions!$B$3</f>
        <v/>
      </c>
      <c r="X5" s="10">
        <f>Assumptions!$B$3</f>
        <v/>
      </c>
      <c r="Y5" s="10">
        <f>Assumptions!$B$3</f>
        <v/>
      </c>
      <c r="Z5" s="10">
        <f>Assumptions!$B$3</f>
        <v/>
      </c>
      <c r="AA5" s="10">
        <f>Assumptions!$B$3</f>
        <v/>
      </c>
      <c r="AB5" s="10">
        <f>Assumptions!$B$3</f>
        <v/>
      </c>
      <c r="AC5" s="10">
        <f>Assumptions!$B$3</f>
        <v/>
      </c>
      <c r="AD5" s="10">
        <f>Assumptions!$B$3</f>
        <v/>
      </c>
      <c r="AE5" s="10">
        <f>Assumptions!$B$3</f>
        <v/>
      </c>
      <c r="AF5" s="10">
        <f>Assumptions!$B$3</f>
        <v/>
      </c>
      <c r="AG5" s="10">
        <f>Assumptions!$B$3</f>
        <v/>
      </c>
      <c r="AH5" s="10">
        <f>Assumptions!$B$3</f>
        <v/>
      </c>
      <c r="AI5" s="10">
        <f>Assumptions!$B$3</f>
        <v/>
      </c>
      <c r="AJ5" s="10">
        <f>Assumptions!$B$3</f>
        <v/>
      </c>
      <c r="AK5" s="10">
        <f>Assumptions!$B$3</f>
        <v/>
      </c>
      <c r="AL5" s="10">
        <f>Assumptions!$B$3</f>
        <v/>
      </c>
      <c r="AM5" s="10">
        <f>Assumptions!$B$3</f>
        <v/>
      </c>
      <c r="AN5" s="10">
        <f>Assumptions!$B$3</f>
        <v/>
      </c>
      <c r="AO5" s="10">
        <f>Assumptions!$B$3</f>
        <v/>
      </c>
      <c r="AP5" s="10">
        <f>Assumptions!$B$3</f>
        <v/>
      </c>
      <c r="AQ5" s="10">
        <f>Assumptions!$B$3</f>
        <v/>
      </c>
      <c r="AR5" s="10">
        <f>Assumptions!$B$3</f>
        <v/>
      </c>
      <c r="AS5" s="10">
        <f>Assumptions!$B$3</f>
        <v/>
      </c>
      <c r="AT5" s="10">
        <f>Assumptions!$B$3</f>
        <v/>
      </c>
      <c r="AU5" s="10">
        <f>Assumptions!$B$3</f>
        <v/>
      </c>
      <c r="AV5" s="10">
        <f>Assumptions!$B$3</f>
        <v/>
      </c>
      <c r="AW5" s="10">
        <f>Assumptions!$B$3</f>
        <v/>
      </c>
      <c r="AX5" s="10">
        <f>Assumptions!$B$3</f>
        <v/>
      </c>
      <c r="AY5" s="10">
        <f>Assumptions!$B$3</f>
        <v/>
      </c>
      <c r="AZ5" s="10">
        <f>Assumptions!$B$3</f>
        <v/>
      </c>
      <c r="BA5" s="10">
        <f>Assumptions!$B$3</f>
        <v/>
      </c>
      <c r="BB5" s="10">
        <f>Assumptions!$B$3</f>
        <v/>
      </c>
      <c r="BC5" s="10">
        <f>Assumptions!$B$3</f>
        <v/>
      </c>
      <c r="BD5" s="10">
        <f>Assumptions!$B$3</f>
        <v/>
      </c>
      <c r="BE5" s="10">
        <f>Assumptions!$B$3</f>
        <v/>
      </c>
      <c r="BF5" s="10">
        <f>Assumptions!$B$3</f>
        <v/>
      </c>
      <c r="BG5" s="10">
        <f>Assumptions!$B$3</f>
        <v/>
      </c>
      <c r="BH5" s="10">
        <f>Assumptions!$B$3</f>
        <v/>
      </c>
      <c r="BI5" s="2" t="n"/>
      <c r="BJ5" s="2" t="n"/>
      <c r="BK5" s="2" t="n"/>
    </row>
    <row r="6">
      <c r="A6" s="19">
        <f>A2*Assumptions!$B$6</f>
        <v/>
      </c>
      <c r="B6" s="10">
        <f>B2*Assumptions!$B$6</f>
        <v/>
      </c>
      <c r="C6" s="10">
        <f>C2*Assumptions!$B$6</f>
        <v/>
      </c>
      <c r="D6" s="10">
        <f>D2*Assumptions!$B$6</f>
        <v/>
      </c>
      <c r="E6" s="10">
        <f>E2*Assumptions!$B$6</f>
        <v/>
      </c>
      <c r="F6" s="10">
        <f>F2*Assumptions!$B$6</f>
        <v/>
      </c>
      <c r="G6" s="10">
        <f>G2*Assumptions!$B$6</f>
        <v/>
      </c>
      <c r="H6" s="10">
        <f>H2*Assumptions!$B$6</f>
        <v/>
      </c>
      <c r="I6" s="10">
        <f>I2*Assumptions!$B$6</f>
        <v/>
      </c>
      <c r="J6" s="10">
        <f>J2*Assumptions!$B$6</f>
        <v/>
      </c>
      <c r="K6" s="10">
        <f>K2*Assumptions!$B$6</f>
        <v/>
      </c>
      <c r="L6" s="10">
        <f>L2*Assumptions!$B$6</f>
        <v/>
      </c>
      <c r="M6" s="10">
        <f>M2*Assumptions!$B$6</f>
        <v/>
      </c>
      <c r="N6" s="10">
        <f>N2*Assumptions!$B$6</f>
        <v/>
      </c>
      <c r="O6" s="10">
        <f>O2*Assumptions!$B$6</f>
        <v/>
      </c>
      <c r="P6" s="10">
        <f>P2*Assumptions!$B$6</f>
        <v/>
      </c>
      <c r="Q6" s="10">
        <f>Q2*Assumptions!$B$6</f>
        <v/>
      </c>
      <c r="R6" s="10">
        <f>R2*Assumptions!$B$6</f>
        <v/>
      </c>
      <c r="S6" s="10">
        <f>S2*Assumptions!$B$6</f>
        <v/>
      </c>
      <c r="T6" s="10">
        <f>T2*Assumptions!$B$6</f>
        <v/>
      </c>
      <c r="U6" s="10">
        <f>U2*Assumptions!$B$6</f>
        <v/>
      </c>
      <c r="V6" s="10">
        <f>V2*Assumptions!$B$6</f>
        <v/>
      </c>
      <c r="W6" s="10">
        <f>W2*Assumptions!$B$6</f>
        <v/>
      </c>
      <c r="X6" s="10">
        <f>X2*Assumptions!$B$6</f>
        <v/>
      </c>
      <c r="Y6" s="10">
        <f>Y2*Assumptions!$B$6</f>
        <v/>
      </c>
      <c r="Z6" s="10">
        <f>Z2*Assumptions!$B$6</f>
        <v/>
      </c>
      <c r="AA6" s="10">
        <f>AA2*Assumptions!$B$6</f>
        <v/>
      </c>
      <c r="AB6" s="10">
        <f>AB2*Assumptions!$B$6</f>
        <v/>
      </c>
      <c r="AC6" s="10">
        <f>AC2*Assumptions!$B$6</f>
        <v/>
      </c>
      <c r="AD6" s="10">
        <f>AD2*Assumptions!$B$6</f>
        <v/>
      </c>
      <c r="AE6" s="10">
        <f>AE2*Assumptions!$B$6</f>
        <v/>
      </c>
      <c r="AF6" s="10">
        <f>AF2*Assumptions!$B$6</f>
        <v/>
      </c>
      <c r="AG6" s="10">
        <f>AG2*Assumptions!$B$6</f>
        <v/>
      </c>
      <c r="AH6" s="10">
        <f>AH2*Assumptions!$B$6</f>
        <v/>
      </c>
      <c r="AI6" s="10">
        <f>AI2*Assumptions!$B$6</f>
        <v/>
      </c>
      <c r="AJ6" s="10">
        <f>AJ2*Assumptions!$B$6</f>
        <v/>
      </c>
      <c r="AK6" s="10">
        <f>AK2*Assumptions!$B$6</f>
        <v/>
      </c>
      <c r="AL6" s="10">
        <f>AL2*Assumptions!$B$6</f>
        <v/>
      </c>
      <c r="AM6" s="10">
        <f>AM2*Assumptions!$B$6</f>
        <v/>
      </c>
      <c r="AN6" s="10">
        <f>AN2*Assumptions!$B$6</f>
        <v/>
      </c>
      <c r="AO6" s="10">
        <f>AO2*Assumptions!$B$6</f>
        <v/>
      </c>
      <c r="AP6" s="10">
        <f>AP2*Assumptions!$B$6</f>
        <v/>
      </c>
      <c r="AQ6" s="10">
        <f>AQ2*Assumptions!$B$6</f>
        <v/>
      </c>
      <c r="AR6" s="10">
        <f>AR2*Assumptions!$B$6</f>
        <v/>
      </c>
      <c r="AS6" s="10">
        <f>AS2*Assumptions!$B$6</f>
        <v/>
      </c>
      <c r="AT6" s="10">
        <f>AT2*Assumptions!$B$6</f>
        <v/>
      </c>
      <c r="AU6" s="10">
        <f>AU2*Assumptions!$B$6</f>
        <v/>
      </c>
      <c r="AV6" s="10">
        <f>AV2*Assumptions!$B$6</f>
        <v/>
      </c>
      <c r="AW6" s="10">
        <f>AW2*Assumptions!$B$6</f>
        <v/>
      </c>
      <c r="AX6" s="10">
        <f>AX2*Assumptions!$B$6</f>
        <v/>
      </c>
      <c r="AY6" s="10">
        <f>AY2*Assumptions!$B$6</f>
        <v/>
      </c>
      <c r="AZ6" s="10">
        <f>AZ2*Assumptions!$B$6</f>
        <v/>
      </c>
      <c r="BA6" s="10">
        <f>BA2*Assumptions!$B$6</f>
        <v/>
      </c>
      <c r="BB6" s="10">
        <f>BB2*Assumptions!$B$6</f>
        <v/>
      </c>
      <c r="BC6" s="10">
        <f>BC2*Assumptions!$B$6</f>
        <v/>
      </c>
      <c r="BD6" s="10">
        <f>BD2*Assumptions!$B$6</f>
        <v/>
      </c>
      <c r="BE6" s="10">
        <f>BE2*Assumptions!$B$6</f>
        <v/>
      </c>
      <c r="BF6" s="10">
        <f>BF2*Assumptions!$B$6</f>
        <v/>
      </c>
      <c r="BG6" s="10">
        <f>BG2*Assumptions!$B$6</f>
        <v/>
      </c>
      <c r="BH6" s="10">
        <f>BH2*Assumptions!$B$6</f>
        <v/>
      </c>
      <c r="BI6" s="2" t="n"/>
      <c r="BJ6" s="2" t="n"/>
      <c r="BK6" s="2" t="n"/>
    </row>
    <row r="7">
      <c r="A7" s="19">
        <f>A2*Assumptions!$B$7</f>
        <v/>
      </c>
      <c r="B7" s="10">
        <f>B2*Assumptions!$B$7</f>
        <v/>
      </c>
      <c r="C7" s="10">
        <f>C2*Assumptions!$B$7</f>
        <v/>
      </c>
      <c r="D7" s="10">
        <f>D2*Assumptions!$B$7</f>
        <v/>
      </c>
      <c r="E7" s="10">
        <f>E2*Assumptions!$B$7</f>
        <v/>
      </c>
      <c r="F7" s="10">
        <f>F2*Assumptions!$B$7</f>
        <v/>
      </c>
      <c r="G7" s="10">
        <f>G2*Assumptions!$B$7</f>
        <v/>
      </c>
      <c r="H7" s="10">
        <f>H2*Assumptions!$B$7</f>
        <v/>
      </c>
      <c r="I7" s="10">
        <f>I2*Assumptions!$B$7</f>
        <v/>
      </c>
      <c r="J7" s="10">
        <f>J2*Assumptions!$B$7</f>
        <v/>
      </c>
      <c r="K7" s="10">
        <f>K2*Assumptions!$B$7</f>
        <v/>
      </c>
      <c r="L7" s="10">
        <f>L2*Assumptions!$B$7</f>
        <v/>
      </c>
      <c r="M7" s="10">
        <f>M2*Assumptions!$B$7</f>
        <v/>
      </c>
      <c r="N7" s="10">
        <f>N2*Assumptions!$B$7</f>
        <v/>
      </c>
      <c r="O7" s="10">
        <f>O2*Assumptions!$B$7</f>
        <v/>
      </c>
      <c r="P7" s="10">
        <f>P2*Assumptions!$B$7</f>
        <v/>
      </c>
      <c r="Q7" s="10">
        <f>Q2*Assumptions!$B$7</f>
        <v/>
      </c>
      <c r="R7" s="10">
        <f>R2*Assumptions!$B$7</f>
        <v/>
      </c>
      <c r="S7" s="10">
        <f>S2*Assumptions!$B$7</f>
        <v/>
      </c>
      <c r="T7" s="10">
        <f>T2*Assumptions!$B$7</f>
        <v/>
      </c>
      <c r="U7" s="10">
        <f>U2*Assumptions!$B$7</f>
        <v/>
      </c>
      <c r="V7" s="10">
        <f>V2*Assumptions!$B$7</f>
        <v/>
      </c>
      <c r="W7" s="10">
        <f>W2*Assumptions!$B$7</f>
        <v/>
      </c>
      <c r="X7" s="10">
        <f>X2*Assumptions!$B$7</f>
        <v/>
      </c>
      <c r="Y7" s="10">
        <f>Y2*Assumptions!$B$7</f>
        <v/>
      </c>
      <c r="Z7" s="10">
        <f>Z2*Assumptions!$B$7</f>
        <v/>
      </c>
      <c r="AA7" s="10">
        <f>AA2*Assumptions!$B$7</f>
        <v/>
      </c>
      <c r="AB7" s="10">
        <f>AB2*Assumptions!$B$7</f>
        <v/>
      </c>
      <c r="AC7" s="10">
        <f>AC2*Assumptions!$B$7</f>
        <v/>
      </c>
      <c r="AD7" s="10">
        <f>AD2*Assumptions!$B$7</f>
        <v/>
      </c>
      <c r="AE7" s="10">
        <f>AE2*Assumptions!$B$7</f>
        <v/>
      </c>
      <c r="AF7" s="10">
        <f>AF2*Assumptions!$B$7</f>
        <v/>
      </c>
      <c r="AG7" s="10">
        <f>AG2*Assumptions!$B$7</f>
        <v/>
      </c>
      <c r="AH7" s="10">
        <f>AH2*Assumptions!$B$7</f>
        <v/>
      </c>
      <c r="AI7" s="10">
        <f>AI2*Assumptions!$B$7</f>
        <v/>
      </c>
      <c r="AJ7" s="10">
        <f>AJ2*Assumptions!$B$7</f>
        <v/>
      </c>
      <c r="AK7" s="10">
        <f>AK2*Assumptions!$B$7</f>
        <v/>
      </c>
      <c r="AL7" s="10">
        <f>AL2*Assumptions!$B$7</f>
        <v/>
      </c>
      <c r="AM7" s="10">
        <f>AM2*Assumptions!$B$7</f>
        <v/>
      </c>
      <c r="AN7" s="10">
        <f>AN2*Assumptions!$B$7</f>
        <v/>
      </c>
      <c r="AO7" s="10">
        <f>AO2*Assumptions!$B$7</f>
        <v/>
      </c>
      <c r="AP7" s="10">
        <f>AP2*Assumptions!$B$7</f>
        <v/>
      </c>
      <c r="AQ7" s="10">
        <f>AQ2*Assumptions!$B$7</f>
        <v/>
      </c>
      <c r="AR7" s="10">
        <f>AR2*Assumptions!$B$7</f>
        <v/>
      </c>
      <c r="AS7" s="10">
        <f>AS2*Assumptions!$B$7</f>
        <v/>
      </c>
      <c r="AT7" s="10">
        <f>AT2*Assumptions!$B$7</f>
        <v/>
      </c>
      <c r="AU7" s="10">
        <f>AU2*Assumptions!$B$7</f>
        <v/>
      </c>
      <c r="AV7" s="10">
        <f>AV2*Assumptions!$B$7</f>
        <v/>
      </c>
      <c r="AW7" s="10">
        <f>AW2*Assumptions!$B$7</f>
        <v/>
      </c>
      <c r="AX7" s="10">
        <f>AX2*Assumptions!$B$7</f>
        <v/>
      </c>
      <c r="AY7" s="10">
        <f>AY2*Assumptions!$B$7</f>
        <v/>
      </c>
      <c r="AZ7" s="10">
        <f>AZ2*Assumptions!$B$7</f>
        <v/>
      </c>
      <c r="BA7" s="10">
        <f>BA2*Assumptions!$B$7</f>
        <v/>
      </c>
      <c r="BB7" s="10">
        <f>BB2*Assumptions!$B$7</f>
        <v/>
      </c>
      <c r="BC7" s="10">
        <f>BC2*Assumptions!$B$7</f>
        <v/>
      </c>
      <c r="BD7" s="10">
        <f>BD2*Assumptions!$B$7</f>
        <v/>
      </c>
      <c r="BE7" s="10">
        <f>BE2*Assumptions!$B$7</f>
        <v/>
      </c>
      <c r="BF7" s="10">
        <f>BF2*Assumptions!$B$7</f>
        <v/>
      </c>
      <c r="BG7" s="10">
        <f>BG2*Assumptions!$B$7</f>
        <v/>
      </c>
      <c r="BH7" s="10">
        <f>BH2*Assumptions!$B$7</f>
        <v/>
      </c>
      <c r="BI7" s="2" t="n"/>
      <c r="BJ7" s="2" t="n"/>
      <c r="BK7" s="2" t="n"/>
    </row>
    <row r="8">
      <c r="A8" s="19" t="n">
        <v>0</v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10" t="n">
        <v>0</v>
      </c>
      <c r="BG8" s="10" t="n">
        <v>0</v>
      </c>
      <c r="BH8" s="10" t="n">
        <v>0</v>
      </c>
      <c r="BI8" s="2" t="n"/>
      <c r="BJ8" s="2" t="n"/>
      <c r="BK8" s="2" t="n"/>
    </row>
    <row r="9">
      <c r="A9" s="19">
        <f>A2-A3-A4-A5-A6-A7-A8</f>
        <v/>
      </c>
      <c r="B9" s="10">
        <f>B2-B3-B4-B5-B6-B7-B8</f>
        <v/>
      </c>
      <c r="C9" s="10">
        <f>C2-C3-C4-C5-C6-C7-C8</f>
        <v/>
      </c>
      <c r="D9" s="10">
        <f>D2-D3-D4-D5-D6-D7-D8</f>
        <v/>
      </c>
      <c r="E9" s="10">
        <f>E2-E3-E4-E5-E6-E7-E8</f>
        <v/>
      </c>
      <c r="F9" s="10">
        <f>F2-F3-F4-F5-F6-F7-F8</f>
        <v/>
      </c>
      <c r="G9" s="10">
        <f>G2-G3-G4-G5-G6-G7-G8</f>
        <v/>
      </c>
      <c r="H9" s="10">
        <f>H2-H3-H4-H5-H6-H7-H8</f>
        <v/>
      </c>
      <c r="I9" s="10">
        <f>I2-I3-I4-I5-I6-I7-I8</f>
        <v/>
      </c>
      <c r="J9" s="10">
        <f>J2-J3-J4-J5-J6-J7-J8</f>
        <v/>
      </c>
      <c r="K9" s="10">
        <f>K2-K3-K4-K5-K6-K7-K8</f>
        <v/>
      </c>
      <c r="L9" s="10">
        <f>L2-L3-L4-L5-L6-L7-L8</f>
        <v/>
      </c>
      <c r="M9" s="10">
        <f>M2-M3-M4-M5-M6-M7-M8</f>
        <v/>
      </c>
      <c r="N9" s="10">
        <f>N2-N3-N4-N5-N6-N7-N8</f>
        <v/>
      </c>
      <c r="O9" s="10">
        <f>O2-O3-O4-O5-O6-O7-O8</f>
        <v/>
      </c>
      <c r="P9" s="10">
        <f>P2-P3-P4-P5-P6-P7-P8</f>
        <v/>
      </c>
      <c r="Q9" s="10">
        <f>Q2-Q3-Q4-Q5-Q6-Q7-Q8</f>
        <v/>
      </c>
      <c r="R9" s="10">
        <f>R2-R3-R4-R5-R6-R7-R8</f>
        <v/>
      </c>
      <c r="S9" s="10">
        <f>S2-S3-S4-S5-S6-S7-S8</f>
        <v/>
      </c>
      <c r="T9" s="10">
        <f>T2-T3-T4-T5-T6-T7-T8</f>
        <v/>
      </c>
      <c r="U9" s="10">
        <f>U2-U3-U4-U5-U6-U7-U8</f>
        <v/>
      </c>
      <c r="V9" s="10">
        <f>V2-V3-V4-V5-V6-V7-V8</f>
        <v/>
      </c>
      <c r="W9" s="10">
        <f>W2-W3-W4-W5-W6-W7-W8</f>
        <v/>
      </c>
      <c r="X9" s="10">
        <f>X2-X3-X4-X5-X6-X7-X8</f>
        <v/>
      </c>
      <c r="Y9" s="10">
        <f>Y2-Y3-Y4-Y5-Y6-Y7-Y8</f>
        <v/>
      </c>
      <c r="Z9" s="10">
        <f>Z2-Z3-Z4-Z5-Z6-Z7-Z8</f>
        <v/>
      </c>
      <c r="AA9" s="10">
        <f>AA2-AA3-AA4-AA5-AA6-AA7-AA8</f>
        <v/>
      </c>
      <c r="AB9" s="10">
        <f>AB2-AB3-AB4-AB5-AB6-AB7-AB8</f>
        <v/>
      </c>
      <c r="AC9" s="10">
        <f>AC2-AC3-AC4-AC5-AC6-AC7-AC8</f>
        <v/>
      </c>
      <c r="AD9" s="10">
        <f>AD2-AD3-AD4-AD5-AD6-AD7-AD8</f>
        <v/>
      </c>
      <c r="AE9" s="10">
        <f>AE2-AE3-AE4-AE5-AE6-AE7-AE8</f>
        <v/>
      </c>
      <c r="AF9" s="10">
        <f>AF2-AF3-AF4-AF5-AF6-AF7-AF8</f>
        <v/>
      </c>
      <c r="AG9" s="10">
        <f>AG2-AG3-AG4-AG5-AG6-AG7-AG8</f>
        <v/>
      </c>
      <c r="AH9" s="10">
        <f>AH2-AH3-AH4-AH5-AH6-AH7-AH8</f>
        <v/>
      </c>
      <c r="AI9" s="10">
        <f>AI2-AI3-AI4-AI5-AI6-AI7-AI8</f>
        <v/>
      </c>
      <c r="AJ9" s="10">
        <f>AJ2-AJ3-AJ4-AJ5-AJ6-AJ7-AJ8</f>
        <v/>
      </c>
      <c r="AK9" s="10">
        <f>AK2-AK3-AK4-AK5-AK6-AK7-AK8</f>
        <v/>
      </c>
      <c r="AL9" s="10">
        <f>AL2-AL3-AL4-AL5-AL6-AL7-AL8</f>
        <v/>
      </c>
      <c r="AM9" s="10">
        <f>AM2-AM3-AM4-AM5-AM6-AM7-AM8</f>
        <v/>
      </c>
      <c r="AN9" s="10">
        <f>AN2-AN3-AN4-AN5-AN6-AN7-AN8</f>
        <v/>
      </c>
      <c r="AO9" s="10">
        <f>AO2-AO3-AO4-AO5-AO6-AO7-AO8</f>
        <v/>
      </c>
      <c r="AP9" s="10">
        <f>AP2-AP3-AP4-AP5-AP6-AP7-AP8</f>
        <v/>
      </c>
      <c r="AQ9" s="10">
        <f>AQ2-AQ3-AQ4-AQ5-AQ6-AQ7-AQ8</f>
        <v/>
      </c>
      <c r="AR9" s="10">
        <f>AR2-AR3-AR4-AR5-AR6-AR7-AR8</f>
        <v/>
      </c>
      <c r="AS9" s="10">
        <f>AS2-AS3-AS4-AS5-AS6-AS7-AS8</f>
        <v/>
      </c>
      <c r="AT9" s="10">
        <f>AT2-AT3-AT4-AT5-AT6-AT7-AT8</f>
        <v/>
      </c>
      <c r="AU9" s="10">
        <f>AU2-AU3-AU4-AU5-AU6-AU7-AU8</f>
        <v/>
      </c>
      <c r="AV9" s="10">
        <f>AV2-AV3-AV4-AV5-AV6-AV7-AV8</f>
        <v/>
      </c>
      <c r="AW9" s="10">
        <f>AW2-AW3-AW4-AW5-AW6-AW7-AW8</f>
        <v/>
      </c>
      <c r="AX9" s="10">
        <f>AX2-AX3-AX4-AX5-AX6-AX7-AX8</f>
        <v/>
      </c>
      <c r="AY9" s="10">
        <f>AY2-AY3-AY4-AY5-AY6-AY7-AY8</f>
        <v/>
      </c>
      <c r="AZ9" s="10">
        <f>AZ2-AZ3-AZ4-AZ5-AZ6-AZ7-AZ8</f>
        <v/>
      </c>
      <c r="BA9" s="10">
        <f>BA2-BA3-BA4-BA5-BA6-BA7-BA8</f>
        <v/>
      </c>
      <c r="BB9" s="10">
        <f>BB2-BB3-BB4-BB5-BB6-BB7-BB8</f>
        <v/>
      </c>
      <c r="BC9" s="10">
        <f>BC2-BC3-BC4-BC5-BC6-BC7-BC8</f>
        <v/>
      </c>
      <c r="BD9" s="10">
        <f>BD2-BD3-BD4-BD5-BD6-BD7-BD8</f>
        <v/>
      </c>
      <c r="BE9" s="10">
        <f>BE2-BE3-BE4-BE5-BE6-BE7-BE8</f>
        <v/>
      </c>
      <c r="BF9" s="10">
        <f>BF2-BF3-BF4-BF5-BF6-BF7-BF8</f>
        <v/>
      </c>
      <c r="BG9" s="10">
        <f>BG2-BG3-BG4-BG5-BG6-BG7-BG8</f>
        <v/>
      </c>
      <c r="BH9" s="10">
        <f>BH2-BH3-BH4-BH5-BH6-BH7-BH8</f>
        <v/>
      </c>
      <c r="BI9" s="2" t="n"/>
      <c r="BJ9" s="2" t="n"/>
      <c r="BK9" s="2" t="n"/>
    </row>
    <row r="10">
      <c r="A10" s="19">
        <f>Assumptions!$B$10/Assumptions!$B$17/12</f>
        <v/>
      </c>
      <c r="B10" s="10">
        <f>Assumptions!$B$10/Assumptions!$B$17/12</f>
        <v/>
      </c>
      <c r="C10" s="10">
        <f>Assumptions!$B$10/Assumptions!$B$17/12</f>
        <v/>
      </c>
      <c r="D10" s="10">
        <f>Assumptions!$B$10/Assumptions!$B$17/12</f>
        <v/>
      </c>
      <c r="E10" s="10">
        <f>Assumptions!$B$10/Assumptions!$B$17/12</f>
        <v/>
      </c>
      <c r="F10" s="10">
        <f>Assumptions!$B$10/Assumptions!$B$17/12</f>
        <v/>
      </c>
      <c r="G10" s="10">
        <f>Assumptions!$B$10/Assumptions!$B$17/12</f>
        <v/>
      </c>
      <c r="H10" s="10">
        <f>Assumptions!$B$10/Assumptions!$B$17/12</f>
        <v/>
      </c>
      <c r="I10" s="10">
        <f>Assumptions!$B$10/Assumptions!$B$17/12</f>
        <v/>
      </c>
      <c r="J10" s="10">
        <f>Assumptions!$B$10/Assumptions!$B$17/12</f>
        <v/>
      </c>
      <c r="K10" s="10">
        <f>Assumptions!$B$10/Assumptions!$B$17/12</f>
        <v/>
      </c>
      <c r="L10" s="10">
        <f>Assumptions!$B$10/Assumptions!$B$17/12</f>
        <v/>
      </c>
      <c r="M10" s="10">
        <f>Assumptions!$B$10/Assumptions!$B$17/12</f>
        <v/>
      </c>
      <c r="N10" s="10">
        <f>Assumptions!$B$10/Assumptions!$B$17/12</f>
        <v/>
      </c>
      <c r="O10" s="10">
        <f>Assumptions!$B$10/Assumptions!$B$17/12</f>
        <v/>
      </c>
      <c r="P10" s="10">
        <f>Assumptions!$B$10/Assumptions!$B$17/12</f>
        <v/>
      </c>
      <c r="Q10" s="10">
        <f>Assumptions!$B$10/Assumptions!$B$17/12</f>
        <v/>
      </c>
      <c r="R10" s="10">
        <f>Assumptions!$B$10/Assumptions!$B$17/12</f>
        <v/>
      </c>
      <c r="S10" s="10">
        <f>Assumptions!$B$10/Assumptions!$B$17/12</f>
        <v/>
      </c>
      <c r="T10" s="10">
        <f>Assumptions!$B$10/Assumptions!$B$17/12</f>
        <v/>
      </c>
      <c r="U10" s="10">
        <f>Assumptions!$B$10/Assumptions!$B$17/12</f>
        <v/>
      </c>
      <c r="V10" s="10">
        <f>Assumptions!$B$10/Assumptions!$B$17/12</f>
        <v/>
      </c>
      <c r="W10" s="10">
        <f>Assumptions!$B$10/Assumptions!$B$17/12</f>
        <v/>
      </c>
      <c r="X10" s="10">
        <f>Assumptions!$B$10/Assumptions!$B$17/12</f>
        <v/>
      </c>
      <c r="Y10" s="10">
        <f>Assumptions!$B$10/Assumptions!$B$17/12</f>
        <v/>
      </c>
      <c r="Z10" s="10">
        <f>Assumptions!$B$10/Assumptions!$B$17/12</f>
        <v/>
      </c>
      <c r="AA10" s="10">
        <f>Assumptions!$B$10/Assumptions!$B$17/12</f>
        <v/>
      </c>
      <c r="AB10" s="10">
        <f>Assumptions!$B$10/Assumptions!$B$17/12</f>
        <v/>
      </c>
      <c r="AC10" s="10">
        <f>Assumptions!$B$10/Assumptions!$B$17/12</f>
        <v/>
      </c>
      <c r="AD10" s="10">
        <f>Assumptions!$B$10/Assumptions!$B$17/12</f>
        <v/>
      </c>
      <c r="AE10" s="10">
        <f>Assumptions!$B$10/Assumptions!$B$17/12</f>
        <v/>
      </c>
      <c r="AF10" s="10">
        <f>Assumptions!$B$10/Assumptions!$B$17/12</f>
        <v/>
      </c>
      <c r="AG10" s="10">
        <f>Assumptions!$B$10/Assumptions!$B$17/12</f>
        <v/>
      </c>
      <c r="AH10" s="10">
        <f>Assumptions!$B$10/Assumptions!$B$17/12</f>
        <v/>
      </c>
      <c r="AI10" s="10">
        <f>Assumptions!$B$10/Assumptions!$B$17/12</f>
        <v/>
      </c>
      <c r="AJ10" s="10">
        <f>Assumptions!$B$10/Assumptions!$B$17/12</f>
        <v/>
      </c>
      <c r="AK10" s="10">
        <f>Assumptions!$B$10/Assumptions!$B$17/12</f>
        <v/>
      </c>
      <c r="AL10" s="10">
        <f>Assumptions!$B$10/Assumptions!$B$17/12</f>
        <v/>
      </c>
      <c r="AM10" s="10">
        <f>Assumptions!$B$10/Assumptions!$B$17/12</f>
        <v/>
      </c>
      <c r="AN10" s="10">
        <f>Assumptions!$B$10/Assumptions!$B$17/12</f>
        <v/>
      </c>
      <c r="AO10" s="10">
        <f>Assumptions!$B$10/Assumptions!$B$17/12</f>
        <v/>
      </c>
      <c r="AP10" s="10">
        <f>Assumptions!$B$10/Assumptions!$B$17/12</f>
        <v/>
      </c>
      <c r="AQ10" s="10">
        <f>Assumptions!$B$10/Assumptions!$B$17/12</f>
        <v/>
      </c>
      <c r="AR10" s="10">
        <f>Assumptions!$B$10/Assumptions!$B$17/12</f>
        <v/>
      </c>
      <c r="AS10" s="10">
        <f>Assumptions!$B$10/Assumptions!$B$17/12</f>
        <v/>
      </c>
      <c r="AT10" s="10">
        <f>Assumptions!$B$10/Assumptions!$B$17/12</f>
        <v/>
      </c>
      <c r="AU10" s="10">
        <f>Assumptions!$B$10/Assumptions!$B$17/12</f>
        <v/>
      </c>
      <c r="AV10" s="10">
        <f>Assumptions!$B$10/Assumptions!$B$17/12</f>
        <v/>
      </c>
      <c r="AW10" s="10">
        <f>Assumptions!$B$10/Assumptions!$B$17/12</f>
        <v/>
      </c>
      <c r="AX10" s="10">
        <f>Assumptions!$B$10/Assumptions!$B$17/12</f>
        <v/>
      </c>
      <c r="AY10" s="10">
        <f>Assumptions!$B$10/Assumptions!$B$17/12</f>
        <v/>
      </c>
      <c r="AZ10" s="10">
        <f>Assumptions!$B$10/Assumptions!$B$17/12</f>
        <v/>
      </c>
      <c r="BA10" s="10">
        <f>Assumptions!$B$10/Assumptions!$B$17/12</f>
        <v/>
      </c>
      <c r="BB10" s="10">
        <f>Assumptions!$B$10/Assumptions!$B$17/12</f>
        <v/>
      </c>
      <c r="BC10" s="10">
        <f>Assumptions!$B$10/Assumptions!$B$17/12</f>
        <v/>
      </c>
      <c r="BD10" s="10">
        <f>Assumptions!$B$10/Assumptions!$B$17/12</f>
        <v/>
      </c>
      <c r="BE10" s="10">
        <f>Assumptions!$B$10/Assumptions!$B$17/12</f>
        <v/>
      </c>
      <c r="BF10" s="10">
        <f>Assumptions!$B$10/Assumptions!$B$17/12</f>
        <v/>
      </c>
      <c r="BG10" s="10">
        <f>Assumptions!$B$10/Assumptions!$B$17/12</f>
        <v/>
      </c>
      <c r="BH10" s="10">
        <f>Assumptions!$B$10/Assumptions!$B$17/12</f>
        <v/>
      </c>
      <c r="BI10" s="2" t="n"/>
      <c r="BJ10" s="2" t="n"/>
      <c r="BK10" s="2" t="n"/>
    </row>
    <row r="11">
      <c r="A11" s="19">
        <f>A9-A10</f>
        <v/>
      </c>
      <c r="B11" s="10">
        <f>B9-B10</f>
        <v/>
      </c>
      <c r="C11" s="10">
        <f>C9-C10</f>
        <v/>
      </c>
      <c r="D11" s="10">
        <f>D9-D10</f>
        <v/>
      </c>
      <c r="E11" s="10">
        <f>E9-E10</f>
        <v/>
      </c>
      <c r="F11" s="10">
        <f>F9-F10</f>
        <v/>
      </c>
      <c r="G11" s="10">
        <f>G9-G10</f>
        <v/>
      </c>
      <c r="H11" s="10">
        <f>H9-H10</f>
        <v/>
      </c>
      <c r="I11" s="10">
        <f>I9-I10</f>
        <v/>
      </c>
      <c r="J11" s="10">
        <f>J9-J10</f>
        <v/>
      </c>
      <c r="K11" s="10">
        <f>K9-K10</f>
        <v/>
      </c>
      <c r="L11" s="10">
        <f>L9-L10</f>
        <v/>
      </c>
      <c r="M11" s="10">
        <f>M9-M10</f>
        <v/>
      </c>
      <c r="N11" s="10">
        <f>N9-N10</f>
        <v/>
      </c>
      <c r="O11" s="10">
        <f>O9-O10</f>
        <v/>
      </c>
      <c r="P11" s="10">
        <f>P9-P10</f>
        <v/>
      </c>
      <c r="Q11" s="10">
        <f>Q9-Q10</f>
        <v/>
      </c>
      <c r="R11" s="10">
        <f>R9-R10</f>
        <v/>
      </c>
      <c r="S11" s="10">
        <f>S9-S10</f>
        <v/>
      </c>
      <c r="T11" s="10">
        <f>T9-T10</f>
        <v/>
      </c>
      <c r="U11" s="10">
        <f>U9-U10</f>
        <v/>
      </c>
      <c r="V11" s="10">
        <f>V9-V10</f>
        <v/>
      </c>
      <c r="W11" s="10">
        <f>W9-W10</f>
        <v/>
      </c>
      <c r="X11" s="10">
        <f>X9-X10</f>
        <v/>
      </c>
      <c r="Y11" s="10">
        <f>Y9-Y10</f>
        <v/>
      </c>
      <c r="Z11" s="10">
        <f>Z9-Z10</f>
        <v/>
      </c>
      <c r="AA11" s="10">
        <f>AA9-AA10</f>
        <v/>
      </c>
      <c r="AB11" s="10">
        <f>AB9-AB10</f>
        <v/>
      </c>
      <c r="AC11" s="10">
        <f>AC9-AC10</f>
        <v/>
      </c>
      <c r="AD11" s="10">
        <f>AD9-AD10</f>
        <v/>
      </c>
      <c r="AE11" s="10">
        <f>AE9-AE10</f>
        <v/>
      </c>
      <c r="AF11" s="10">
        <f>AF9-AF10</f>
        <v/>
      </c>
      <c r="AG11" s="10">
        <f>AG9-AG10</f>
        <v/>
      </c>
      <c r="AH11" s="10">
        <f>AH9-AH10</f>
        <v/>
      </c>
      <c r="AI11" s="10">
        <f>AI9-AI10</f>
        <v/>
      </c>
      <c r="AJ11" s="10">
        <f>AJ9-AJ10</f>
        <v/>
      </c>
      <c r="AK11" s="10">
        <f>AK9-AK10</f>
        <v/>
      </c>
      <c r="AL11" s="10">
        <f>AL9-AL10</f>
        <v/>
      </c>
      <c r="AM11" s="10">
        <f>AM9-AM10</f>
        <v/>
      </c>
      <c r="AN11" s="10">
        <f>AN9-AN10</f>
        <v/>
      </c>
      <c r="AO11" s="10">
        <f>AO9-AO10</f>
        <v/>
      </c>
      <c r="AP11" s="10">
        <f>AP9-AP10</f>
        <v/>
      </c>
      <c r="AQ11" s="10">
        <f>AQ9-AQ10</f>
        <v/>
      </c>
      <c r="AR11" s="10">
        <f>AR9-AR10</f>
        <v/>
      </c>
      <c r="AS11" s="10">
        <f>AS9-AS10</f>
        <v/>
      </c>
      <c r="AT11" s="10">
        <f>AT9-AT10</f>
        <v/>
      </c>
      <c r="AU11" s="10">
        <f>AU9-AU10</f>
        <v/>
      </c>
      <c r="AV11" s="10">
        <f>AV9-AV10</f>
        <v/>
      </c>
      <c r="AW11" s="10">
        <f>AW9-AW10</f>
        <v/>
      </c>
      <c r="AX11" s="10">
        <f>AX9-AX10</f>
        <v/>
      </c>
      <c r="AY11" s="10">
        <f>AY9-AY10</f>
        <v/>
      </c>
      <c r="AZ11" s="10">
        <f>AZ9-AZ10</f>
        <v/>
      </c>
      <c r="BA11" s="10">
        <f>BA9-BA10</f>
        <v/>
      </c>
      <c r="BB11" s="10">
        <f>BB9-BB10</f>
        <v/>
      </c>
      <c r="BC11" s="10">
        <f>BC9-BC10</f>
        <v/>
      </c>
      <c r="BD11" s="10">
        <f>BD9-BD10</f>
        <v/>
      </c>
      <c r="BE11" s="10">
        <f>BE9-BE10</f>
        <v/>
      </c>
      <c r="BF11" s="10">
        <f>BF9-BF10</f>
        <v/>
      </c>
      <c r="BG11" s="10">
        <f>BG9-BG10</f>
        <v/>
      </c>
      <c r="BH11" s="10">
        <f>BH9-BH10</f>
        <v/>
      </c>
      <c r="BI11" s="2" t="n"/>
      <c r="BJ11" s="2" t="n"/>
      <c r="BK11" s="2" t="n"/>
    </row>
    <row r="12">
      <c r="A12" s="19">
        <f>(A11)*(Assumptions!$B$15+Assumptions!$B$16)</f>
        <v/>
      </c>
      <c r="B12" s="10">
        <f>(B11)*(Assumptions!$B$15+Assumptions!$B$16)</f>
        <v/>
      </c>
      <c r="C12" s="10">
        <f>(C11)*(Assumptions!$B$15+Assumptions!$B$16)</f>
        <v/>
      </c>
      <c r="D12" s="10">
        <f>(D11)*(Assumptions!$B$15+Assumptions!$B$16)</f>
        <v/>
      </c>
      <c r="E12" s="10">
        <f>(E11)*(Assumptions!$B$15+Assumptions!$B$16)</f>
        <v/>
      </c>
      <c r="F12" s="10">
        <f>(F11)*(Assumptions!$B$15+Assumptions!$B$16)</f>
        <v/>
      </c>
      <c r="G12" s="10">
        <f>(G11)*(Assumptions!$B$15+Assumptions!$B$16)</f>
        <v/>
      </c>
      <c r="H12" s="10">
        <f>(H11)*(Assumptions!$B$15+Assumptions!$B$16)</f>
        <v/>
      </c>
      <c r="I12" s="10">
        <f>(I11)*(Assumptions!$B$15+Assumptions!$B$16)</f>
        <v/>
      </c>
      <c r="J12" s="10">
        <f>(J11)*(Assumptions!$B$15+Assumptions!$B$16)</f>
        <v/>
      </c>
      <c r="K12" s="10">
        <f>(K11)*(Assumptions!$B$15+Assumptions!$B$16)</f>
        <v/>
      </c>
      <c r="L12" s="10">
        <f>(L11)*(Assumptions!$B$15+Assumptions!$B$16)</f>
        <v/>
      </c>
      <c r="M12" s="10">
        <f>(M11)*(Assumptions!$B$15+Assumptions!$B$16)</f>
        <v/>
      </c>
      <c r="N12" s="10">
        <f>(N11)*(Assumptions!$B$15+Assumptions!$B$16)</f>
        <v/>
      </c>
      <c r="O12" s="10">
        <f>(O11)*(Assumptions!$B$15+Assumptions!$B$16)</f>
        <v/>
      </c>
      <c r="P12" s="10">
        <f>(P11)*(Assumptions!$B$15+Assumptions!$B$16)</f>
        <v/>
      </c>
      <c r="Q12" s="10">
        <f>(Q11)*(Assumptions!$B$15+Assumptions!$B$16)</f>
        <v/>
      </c>
      <c r="R12" s="10">
        <f>(R11)*(Assumptions!$B$15+Assumptions!$B$16)</f>
        <v/>
      </c>
      <c r="S12" s="10">
        <f>(S11)*(Assumptions!$B$15+Assumptions!$B$16)</f>
        <v/>
      </c>
      <c r="T12" s="10">
        <f>(T11)*(Assumptions!$B$15+Assumptions!$B$16)</f>
        <v/>
      </c>
      <c r="U12" s="10">
        <f>(U11)*(Assumptions!$B$15+Assumptions!$B$16)</f>
        <v/>
      </c>
      <c r="V12" s="10">
        <f>(V11)*(Assumptions!$B$15+Assumptions!$B$16)</f>
        <v/>
      </c>
      <c r="W12" s="10">
        <f>(W11)*(Assumptions!$B$15+Assumptions!$B$16)</f>
        <v/>
      </c>
      <c r="X12" s="10">
        <f>(X11)*(Assumptions!$B$15+Assumptions!$B$16)</f>
        <v/>
      </c>
      <c r="Y12" s="10">
        <f>(Y11)*(Assumptions!$B$15+Assumptions!$B$16)</f>
        <v/>
      </c>
      <c r="Z12" s="10">
        <f>(Z11)*(Assumptions!$B$15+Assumptions!$B$16)</f>
        <v/>
      </c>
      <c r="AA12" s="10">
        <f>(AA11)*(Assumptions!$B$15+Assumptions!$B$16)</f>
        <v/>
      </c>
      <c r="AB12" s="10">
        <f>(AB11)*(Assumptions!$B$15+Assumptions!$B$16)</f>
        <v/>
      </c>
      <c r="AC12" s="10">
        <f>(AC11)*(Assumptions!$B$15+Assumptions!$B$16)</f>
        <v/>
      </c>
      <c r="AD12" s="10">
        <f>(AD11)*(Assumptions!$B$15+Assumptions!$B$16)</f>
        <v/>
      </c>
      <c r="AE12" s="10">
        <f>(AE11)*(Assumptions!$B$15+Assumptions!$B$16)</f>
        <v/>
      </c>
      <c r="AF12" s="10">
        <f>(AF11)*(Assumptions!$B$15+Assumptions!$B$16)</f>
        <v/>
      </c>
      <c r="AG12" s="10">
        <f>(AG11)*(Assumptions!$B$15+Assumptions!$B$16)</f>
        <v/>
      </c>
      <c r="AH12" s="10">
        <f>(AH11)*(Assumptions!$B$15+Assumptions!$B$16)</f>
        <v/>
      </c>
      <c r="AI12" s="10">
        <f>(AI11)*(Assumptions!$B$15+Assumptions!$B$16)</f>
        <v/>
      </c>
      <c r="AJ12" s="10">
        <f>(AJ11)*(Assumptions!$B$15+Assumptions!$B$16)</f>
        <v/>
      </c>
      <c r="AK12" s="10">
        <f>(AK11)*(Assumptions!$B$15+Assumptions!$B$16)</f>
        <v/>
      </c>
      <c r="AL12" s="10">
        <f>(AL11)*(Assumptions!$B$15+Assumptions!$B$16)</f>
        <v/>
      </c>
      <c r="AM12" s="10">
        <f>(AM11)*(Assumptions!$B$15+Assumptions!$B$16)</f>
        <v/>
      </c>
      <c r="AN12" s="10">
        <f>(AN11)*(Assumptions!$B$15+Assumptions!$B$16)</f>
        <v/>
      </c>
      <c r="AO12" s="10">
        <f>(AO11)*(Assumptions!$B$15+Assumptions!$B$16)</f>
        <v/>
      </c>
      <c r="AP12" s="10">
        <f>(AP11)*(Assumptions!$B$15+Assumptions!$B$16)</f>
        <v/>
      </c>
      <c r="AQ12" s="10">
        <f>(AQ11)*(Assumptions!$B$15+Assumptions!$B$16)</f>
        <v/>
      </c>
      <c r="AR12" s="10">
        <f>(AR11)*(Assumptions!$B$15+Assumptions!$B$16)</f>
        <v/>
      </c>
      <c r="AS12" s="10">
        <f>(AS11)*(Assumptions!$B$15+Assumptions!$B$16)</f>
        <v/>
      </c>
      <c r="AT12" s="10">
        <f>(AT11)*(Assumptions!$B$15+Assumptions!$B$16)</f>
        <v/>
      </c>
      <c r="AU12" s="10">
        <f>(AU11)*(Assumptions!$B$15+Assumptions!$B$16)</f>
        <v/>
      </c>
      <c r="AV12" s="10">
        <f>(AV11)*(Assumptions!$B$15+Assumptions!$B$16)</f>
        <v/>
      </c>
      <c r="AW12" s="10">
        <f>(AW11)*(Assumptions!$B$15+Assumptions!$B$16)</f>
        <v/>
      </c>
      <c r="AX12" s="10">
        <f>(AX11)*(Assumptions!$B$15+Assumptions!$B$16)</f>
        <v/>
      </c>
      <c r="AY12" s="10">
        <f>(AY11)*(Assumptions!$B$15+Assumptions!$B$16)</f>
        <v/>
      </c>
      <c r="AZ12" s="10">
        <f>(AZ11)*(Assumptions!$B$15+Assumptions!$B$16)</f>
        <v/>
      </c>
      <c r="BA12" s="10">
        <f>(BA11)*(Assumptions!$B$15+Assumptions!$B$16)</f>
        <v/>
      </c>
      <c r="BB12" s="10">
        <f>(BB11)*(Assumptions!$B$15+Assumptions!$B$16)</f>
        <v/>
      </c>
      <c r="BC12" s="10">
        <f>(BC11)*(Assumptions!$B$15+Assumptions!$B$16)</f>
        <v/>
      </c>
      <c r="BD12" s="10">
        <f>(BD11)*(Assumptions!$B$15+Assumptions!$B$16)</f>
        <v/>
      </c>
      <c r="BE12" s="10">
        <f>(BE11)*(Assumptions!$B$15+Assumptions!$B$16)</f>
        <v/>
      </c>
      <c r="BF12" s="10">
        <f>(BF11)*(Assumptions!$B$15+Assumptions!$B$16)</f>
        <v/>
      </c>
      <c r="BG12" s="10">
        <f>(BG11)*(Assumptions!$B$15+Assumptions!$B$16)</f>
        <v/>
      </c>
      <c r="BH12" s="10">
        <f>(BH11)*(Assumptions!$B$15+Assumptions!$B$16)</f>
        <v/>
      </c>
      <c r="BI12" s="2" t="n"/>
      <c r="BJ12" s="2" t="n"/>
      <c r="BK12" s="2" t="n"/>
    </row>
    <row r="13">
      <c r="A13" s="19">
        <f>A11-A12</f>
        <v/>
      </c>
      <c r="B13" s="10">
        <f>B11-B12</f>
        <v/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0">
        <f>G11-G12</f>
        <v/>
      </c>
      <c r="H13" s="10">
        <f>H11-H12</f>
        <v/>
      </c>
      <c r="I13" s="10">
        <f>I11-I12</f>
        <v/>
      </c>
      <c r="J13" s="10">
        <f>J11-J12</f>
        <v/>
      </c>
      <c r="K13" s="10">
        <f>K11-K12</f>
        <v/>
      </c>
      <c r="L13" s="10">
        <f>L11-L12</f>
        <v/>
      </c>
      <c r="M13" s="10">
        <f>M11-M12</f>
        <v/>
      </c>
      <c r="N13" s="10">
        <f>N11-N12</f>
        <v/>
      </c>
      <c r="O13" s="10">
        <f>O11-O12</f>
        <v/>
      </c>
      <c r="P13" s="10">
        <f>P11-P12</f>
        <v/>
      </c>
      <c r="Q13" s="10">
        <f>Q11-Q12</f>
        <v/>
      </c>
      <c r="R13" s="10">
        <f>R11-R12</f>
        <v/>
      </c>
      <c r="S13" s="10">
        <f>S11-S12</f>
        <v/>
      </c>
      <c r="T13" s="10">
        <f>T11-T12</f>
        <v/>
      </c>
      <c r="U13" s="10">
        <f>U11-U12</f>
        <v/>
      </c>
      <c r="V13" s="10">
        <f>V11-V12</f>
        <v/>
      </c>
      <c r="W13" s="10">
        <f>W11-W12</f>
        <v/>
      </c>
      <c r="X13" s="10">
        <f>X11-X12</f>
        <v/>
      </c>
      <c r="Y13" s="10">
        <f>Y11-Y12</f>
        <v/>
      </c>
      <c r="Z13" s="10">
        <f>Z11-Z12</f>
        <v/>
      </c>
      <c r="AA13" s="10">
        <f>AA11-AA12</f>
        <v/>
      </c>
      <c r="AB13" s="10">
        <f>AB11-AB12</f>
        <v/>
      </c>
      <c r="AC13" s="10">
        <f>AC11-AC12</f>
        <v/>
      </c>
      <c r="AD13" s="10">
        <f>AD11-AD12</f>
        <v/>
      </c>
      <c r="AE13" s="10">
        <f>AE11-AE12</f>
        <v/>
      </c>
      <c r="AF13" s="10">
        <f>AF11-AF12</f>
        <v/>
      </c>
      <c r="AG13" s="10">
        <f>AG11-AG12</f>
        <v/>
      </c>
      <c r="AH13" s="10">
        <f>AH11-AH12</f>
        <v/>
      </c>
      <c r="AI13" s="10">
        <f>AI11-AI12</f>
        <v/>
      </c>
      <c r="AJ13" s="10">
        <f>AJ11-AJ12</f>
        <v/>
      </c>
      <c r="AK13" s="10">
        <f>AK11-AK12</f>
        <v/>
      </c>
      <c r="AL13" s="10">
        <f>AL11-AL12</f>
        <v/>
      </c>
      <c r="AM13" s="10">
        <f>AM11-AM12</f>
        <v/>
      </c>
      <c r="AN13" s="10">
        <f>AN11-AN12</f>
        <v/>
      </c>
      <c r="AO13" s="10">
        <f>AO11-AO12</f>
        <v/>
      </c>
      <c r="AP13" s="10">
        <f>AP11-AP12</f>
        <v/>
      </c>
      <c r="AQ13" s="10">
        <f>AQ11-AQ12</f>
        <v/>
      </c>
      <c r="AR13" s="10">
        <f>AR11-AR12</f>
        <v/>
      </c>
      <c r="AS13" s="10">
        <f>AS11-AS12</f>
        <v/>
      </c>
      <c r="AT13" s="10">
        <f>AT11-AT12</f>
        <v/>
      </c>
      <c r="AU13" s="10">
        <f>AU11-AU12</f>
        <v/>
      </c>
      <c r="AV13" s="10">
        <f>AV11-AV12</f>
        <v/>
      </c>
      <c r="AW13" s="10">
        <f>AW11-AW12</f>
        <v/>
      </c>
      <c r="AX13" s="10">
        <f>AX11-AX12</f>
        <v/>
      </c>
      <c r="AY13" s="10">
        <f>AY11-AY12</f>
        <v/>
      </c>
      <c r="AZ13" s="10">
        <f>AZ11-AZ12</f>
        <v/>
      </c>
      <c r="BA13" s="10">
        <f>BA11-BA12</f>
        <v/>
      </c>
      <c r="BB13" s="10">
        <f>BB11-BB12</f>
        <v/>
      </c>
      <c r="BC13" s="10">
        <f>BC11-BC12</f>
        <v/>
      </c>
      <c r="BD13" s="10">
        <f>BD11-BD12</f>
        <v/>
      </c>
      <c r="BE13" s="10">
        <f>BE11-BE12</f>
        <v/>
      </c>
      <c r="BF13" s="10">
        <f>BF11-BF12</f>
        <v/>
      </c>
      <c r="BG13" s="10">
        <f>BG11-BG12</f>
        <v/>
      </c>
      <c r="BH13" s="10">
        <f>BH11-BH12</f>
        <v/>
      </c>
      <c r="BI13" s="2" t="n"/>
      <c r="BJ13" s="2" t="n"/>
      <c r="B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1" t="inlineStr">
        <is>
          <t>Year 1</t>
        </is>
      </c>
      <c r="BN14" s="1" t="inlineStr">
        <is>
          <t>Year 2</t>
        </is>
      </c>
      <c r="BO14" s="1" t="inlineStr">
        <is>
          <t>Year 3</t>
        </is>
      </c>
      <c r="BP14" s="1" t="inlineStr">
        <is>
          <t>Year 4</t>
        </is>
      </c>
      <c r="BQ14" s="1" t="inlineStr">
        <is>
          <t>Year 5</t>
        </is>
      </c>
    </row>
    <row r="15">
      <c r="A15" s="3" t="inlineStr">
        <is>
          <t>Revenue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10">
        <f>SUM(B2:M2)</f>
        <v/>
      </c>
      <c r="BN15" s="10">
        <f>SUM(N2:Y2)</f>
        <v/>
      </c>
      <c r="BO15" s="10">
        <f>SUM(Z2:AK2)</f>
        <v/>
      </c>
      <c r="BP15" s="10">
        <f>SUM(AL2:AW2)</f>
        <v/>
      </c>
      <c r="BQ15" s="10">
        <f>SUM(AX2:BK2)</f>
        <v/>
      </c>
    </row>
    <row r="16">
      <c r="A16" s="3" t="inlineStr">
        <is>
          <t>Food Cost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10">
        <f>SUM(B3:M3)</f>
        <v/>
      </c>
      <c r="BN16" s="10">
        <f>SUM(N3:Y3)</f>
        <v/>
      </c>
      <c r="BO16" s="10">
        <f>SUM(Z3:AK3)</f>
        <v/>
      </c>
      <c r="BP16" s="10">
        <f>SUM(AL3:AW3)</f>
        <v/>
      </c>
      <c r="BQ16" s="10">
        <f>SUM(AX3:BK3)</f>
        <v/>
      </c>
    </row>
    <row r="17">
      <c r="A17" s="3" t="inlineStr">
        <is>
          <t>Labor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10">
        <f>SUM(B4:M4)</f>
        <v/>
      </c>
      <c r="BN17" s="10">
        <f>SUM(N4:Y4)</f>
        <v/>
      </c>
      <c r="BO17" s="10">
        <f>SUM(Z4:AK4)</f>
        <v/>
      </c>
      <c r="BP17" s="10">
        <f>SUM(AL4:AW4)</f>
        <v/>
      </c>
      <c r="BQ17" s="10">
        <f>SUM(AX4:BK4)</f>
        <v/>
      </c>
    </row>
    <row r="18">
      <c r="A18" s="3" t="inlineStr">
        <is>
          <t>Rent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10">
        <f>SUM(B5:M5)</f>
        <v/>
      </c>
      <c r="BN18" s="10">
        <f>SUM(N5:Y5)</f>
        <v/>
      </c>
      <c r="BO18" s="10">
        <f>SUM(Z5:AK5)</f>
        <v/>
      </c>
      <c r="BP18" s="10">
        <f>SUM(AL5:AW5)</f>
        <v/>
      </c>
      <c r="BQ18" s="10">
        <f>SUM(AX5:BK5)</f>
        <v/>
      </c>
    </row>
    <row r="19">
      <c r="A19" s="3" t="inlineStr">
        <is>
          <t>Utilities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10">
        <f>SUM(B6:M6)</f>
        <v/>
      </c>
      <c r="BN19" s="10">
        <f>SUM(N6:Y6)</f>
        <v/>
      </c>
      <c r="BO19" s="10">
        <f>SUM(Z6:AK6)</f>
        <v/>
      </c>
      <c r="BP19" s="10">
        <f>SUM(AL6:AW6)</f>
        <v/>
      </c>
      <c r="BQ19" s="10">
        <f>SUM(AX6:BK6)</f>
        <v/>
      </c>
    </row>
    <row r="20">
      <c r="A20" s="3" t="inlineStr">
        <is>
          <t>Marketing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10">
        <f>SUM(B7:M7)</f>
        <v/>
      </c>
      <c r="BN20" s="10">
        <f>SUM(N7:Y7)</f>
        <v/>
      </c>
      <c r="BO20" s="10">
        <f>SUM(Z7:AK7)</f>
        <v/>
      </c>
      <c r="BP20" s="10">
        <f>SUM(AL7:AW7)</f>
        <v/>
      </c>
      <c r="BQ20" s="10">
        <f>SUM(AX7:BK7)</f>
        <v/>
      </c>
    </row>
    <row r="21">
      <c r="A21" s="3" t="inlineStr">
        <is>
          <t>Other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10">
        <f>SUM(B8:M8)</f>
        <v/>
      </c>
      <c r="BN21" s="10">
        <f>SUM(N8:Y8)</f>
        <v/>
      </c>
      <c r="BO21" s="10">
        <f>SUM(Z8:AK8)</f>
        <v/>
      </c>
      <c r="BP21" s="10">
        <f>SUM(AL8:AW8)</f>
        <v/>
      </c>
      <c r="BQ21" s="10">
        <f>SUM(AX8:BK8)</f>
        <v/>
      </c>
    </row>
    <row r="22">
      <c r="A22" s="3" t="inlineStr">
        <is>
          <t>EBITDA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10">
        <f>SUM(B9:M9)</f>
        <v/>
      </c>
      <c r="BN22" s="10">
        <f>SUM(N9:Y9)</f>
        <v/>
      </c>
      <c r="BO22" s="10">
        <f>SUM(Z9:AK9)</f>
        <v/>
      </c>
      <c r="BP22" s="10">
        <f>SUM(AL9:AW9)</f>
        <v/>
      </c>
      <c r="BQ22" s="10">
        <f>SUM(AX9:BK9)</f>
        <v/>
      </c>
    </row>
    <row r="23">
      <c r="A23" s="3" t="inlineStr">
        <is>
          <t>Depreciation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10">
        <f>SUM(B10:M10)</f>
        <v/>
      </c>
      <c r="BN23" s="10">
        <f>SUM(N10:Y10)</f>
        <v/>
      </c>
      <c r="BO23" s="10">
        <f>SUM(Z10:AK10)</f>
        <v/>
      </c>
      <c r="BP23" s="10">
        <f>SUM(AL10:AW10)</f>
        <v/>
      </c>
      <c r="BQ23" s="10">
        <f>SUM(AX10:BK10)</f>
        <v/>
      </c>
    </row>
    <row r="24">
      <c r="A24" s="3" t="inlineStr">
        <is>
          <t>EBIT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10">
        <f>SUM(B11:M11)</f>
        <v/>
      </c>
      <c r="BN24" s="10">
        <f>SUM(N11:Y11)</f>
        <v/>
      </c>
      <c r="BO24" s="10">
        <f>SUM(Z11:AK11)</f>
        <v/>
      </c>
      <c r="BP24" s="10">
        <f>SUM(AL11:AW11)</f>
        <v/>
      </c>
      <c r="BQ24" s="10">
        <f>SUM(AX11:BK11)</f>
        <v/>
      </c>
    </row>
    <row r="25">
      <c r="A25" s="3" t="inlineStr">
        <is>
          <t>Taxes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10">
        <f>SUM(B12:M12)</f>
        <v/>
      </c>
      <c r="BN25" s="10">
        <f>SUM(N12:Y12)</f>
        <v/>
      </c>
      <c r="BO25" s="10">
        <f>SUM(Z12:AK12)</f>
        <v/>
      </c>
      <c r="BP25" s="10">
        <f>SUM(AL12:AW12)</f>
        <v/>
      </c>
      <c r="BQ25" s="10">
        <f>SUM(AX12:BK12)</f>
        <v/>
      </c>
    </row>
    <row r="26">
      <c r="A26" s="3" t="inlineStr">
        <is>
          <t>Net Income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10">
        <f>SUM(B13:M13)</f>
        <v/>
      </c>
      <c r="BN26" s="10">
        <f>SUM(N13:Y13)</f>
        <v/>
      </c>
      <c r="BO26" s="10">
        <f>SUM(Z13:AK13)</f>
        <v/>
      </c>
      <c r="BP26" s="10">
        <f>SUM(AL13:AW13)</f>
        <v/>
      </c>
      <c r="BQ26" s="10">
        <f>SUM(AX13:BK13)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Cash Flow Statement</t>
        </is>
      </c>
      <c r="B1" s="2" t="n"/>
      <c r="C1" s="2" t="n"/>
      <c r="D1" s="2" t="n"/>
      <c r="E1" s="2" t="n"/>
      <c r="F1" s="2" t="n"/>
    </row>
    <row r="2">
      <c r="A2" s="3" t="inlineStr">
        <is>
          <t>Year</t>
        </is>
      </c>
      <c r="B2" s="3" t="inlineStr">
        <is>
          <t>Year 1</t>
        </is>
      </c>
      <c r="C2" s="3" t="inlineStr">
        <is>
          <t>Year 2</t>
        </is>
      </c>
      <c r="D2" s="3" t="inlineStr">
        <is>
          <t>Year 3</t>
        </is>
      </c>
      <c r="E2" s="3" t="inlineStr">
        <is>
          <t>Year 4</t>
        </is>
      </c>
      <c r="F2" s="3" t="inlineStr">
        <is>
          <t>Year 5</t>
        </is>
      </c>
    </row>
    <row r="3">
      <c r="A3" s="3" t="inlineStr">
        <is>
          <t>Net Income</t>
        </is>
      </c>
      <c r="B3" s="10">
        <f>PnL!BM27</f>
        <v/>
      </c>
      <c r="C3" s="10">
        <f>PnL!BN27</f>
        <v/>
      </c>
      <c r="D3" s="10">
        <f>PnL!BO27</f>
        <v/>
      </c>
      <c r="E3" s="10">
        <f>PnL!BP27</f>
        <v/>
      </c>
      <c r="F3" s="10">
        <f>PnL!BQ27</f>
        <v/>
      </c>
    </row>
    <row r="4">
      <c r="A4" s="3" t="inlineStr">
        <is>
          <t>Depreciation</t>
        </is>
      </c>
      <c r="B4" s="10">
        <f>PnL!BM25</f>
        <v/>
      </c>
      <c r="C4" s="10">
        <f>PnL!BN25</f>
        <v/>
      </c>
      <c r="D4" s="10">
        <f>PnL!BO25</f>
        <v/>
      </c>
      <c r="E4" s="10">
        <f>PnL!BP25</f>
        <v/>
      </c>
      <c r="F4" s="10">
        <f>PnL!BQ25</f>
        <v/>
      </c>
    </row>
    <row r="5">
      <c r="A5" s="3" t="inlineStr">
        <is>
          <t>Change in WC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</row>
    <row r="6">
      <c r="A6" s="11" t="inlineStr">
        <is>
          <t>Operating Cash Flow</t>
        </is>
      </c>
      <c r="B6" s="10">
        <f>B3+B4+B5</f>
        <v/>
      </c>
      <c r="C6" s="10">
        <f>C3+C4+C5</f>
        <v/>
      </c>
      <c r="D6" s="10">
        <f>D3+D4+D5</f>
        <v/>
      </c>
      <c r="E6" s="10">
        <f>E3+E4+E5</f>
        <v/>
      </c>
      <c r="F6" s="10">
        <f>F3+F4+F5</f>
        <v/>
      </c>
    </row>
    <row r="7">
      <c r="A7" s="3" t="inlineStr">
        <is>
          <t>Capex</t>
        </is>
      </c>
      <c r="B7" s="10">
        <f>-Assumptions!$B$10</f>
        <v/>
      </c>
      <c r="C7" s="10" t="n">
        <v>0</v>
      </c>
      <c r="D7" s="10" t="n">
        <v>0</v>
      </c>
      <c r="E7" s="10" t="n">
        <v>0</v>
      </c>
      <c r="F7" s="10" t="n">
        <v>0</v>
      </c>
    </row>
    <row r="8">
      <c r="A8" s="11" t="inlineStr">
        <is>
          <t>Free Cash Flow</t>
        </is>
      </c>
      <c r="B8" s="10">
        <f>B6+B7</f>
        <v/>
      </c>
      <c r="C8" s="10">
        <f>C6+C7</f>
        <v/>
      </c>
      <c r="D8" s="10">
        <f>D6+D7</f>
        <v/>
      </c>
      <c r="E8" s="10">
        <f>E6+E7</f>
        <v/>
      </c>
      <c r="F8" s="10">
        <f>F6+F7</f>
        <v/>
      </c>
    </row>
    <row r="9">
      <c r="A9" s="3" t="inlineStr">
        <is>
          <t>Cumulative FCF</t>
        </is>
      </c>
      <c r="B9" s="10">
        <f>B8</f>
        <v/>
      </c>
      <c r="C9" s="10">
        <f>B9+C8</f>
        <v/>
      </c>
      <c r="D9" s="10">
        <f>C9+D8</f>
        <v/>
      </c>
      <c r="E9" s="10">
        <f>D9+E8</f>
        <v/>
      </c>
      <c r="F9" s="10">
        <f>E9+F8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Monthly Break-Even Analysis</t>
        </is>
      </c>
      <c r="B1" s="2" t="n"/>
    </row>
    <row r="2">
      <c r="A2" s="3" t="inlineStr">
        <is>
          <t>Fixed Costs (Rent + Labor + Other)</t>
        </is>
      </c>
      <c r="B2" s="10">
        <f>Assumptions!$B$3+Personnel!$E$6+0</f>
        <v/>
      </c>
    </row>
    <row r="3">
      <c r="A3" s="3" t="inlineStr">
        <is>
          <t>Variable Cost % (Food + Utilities + Marketing)</t>
        </is>
      </c>
      <c r="B3" s="20">
        <f>Assumptions!$B$4+Assumptions!$B$6+Assumptions!$B$7</f>
        <v/>
      </c>
    </row>
    <row r="4">
      <c r="A4" s="3" t="inlineStr">
        <is>
          <t>Contribution Margin %</t>
        </is>
      </c>
      <c r="B4" s="20">
        <f>1-B3</f>
        <v/>
      </c>
    </row>
    <row r="5">
      <c r="A5" s="11" t="inlineStr">
        <is>
          <t>Break-Even Revenue (monthly)</t>
        </is>
      </c>
      <c r="B5" s="10">
        <f>B2/B4</f>
        <v/>
      </c>
    </row>
    <row r="6">
      <c r="A6" s="3" t="inlineStr">
        <is>
          <t>Break-Even Covers per Day</t>
        </is>
      </c>
      <c r="B6" s="17">
        <f>B5/(Assumptions!$B$14*Assumptions!$B$8)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  <col width="27" customWidth="1" min="4" max="4"/>
    <col width="17" customWidth="1" min="5" max="5"/>
    <col width="42" customWidth="1" min="6" max="6"/>
    <col width="16" customWidth="1" min="7" max="7"/>
    <col width="26" customWidth="1" min="8" max="8"/>
    <col width="18" customWidth="1" min="9" max="9"/>
  </cols>
  <sheetData>
    <row r="1">
      <c r="A1" s="1" t="inlineStr">
        <is>
          <t>Scale-Up to 4 Cities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City</t>
        </is>
      </c>
      <c r="B2" s="3" t="inlineStr">
        <is>
          <t>Covers per Day</t>
        </is>
      </c>
      <c r="C2" s="3" t="inlineStr">
        <is>
          <t>Average Ticket</t>
        </is>
      </c>
      <c r="D2" s="3" t="inlineStr">
        <is>
          <t>Monthly Revenue</t>
        </is>
      </c>
      <c r="E2" s="3" t="inlineStr">
        <is>
          <t>Annual Revenue</t>
        </is>
      </c>
      <c r="F2" s="3" t="inlineStr">
        <is>
          <t>EBITDA Margin</t>
        </is>
      </c>
      <c r="G2" s="3" t="inlineStr">
        <is>
          <t>Annual EBITDA</t>
        </is>
      </c>
      <c r="H2" s="3" t="inlineStr">
        <is>
          <t>Capex</t>
        </is>
      </c>
      <c r="I2" s="3" t="inlineStr">
        <is>
          <t>Payback (years)</t>
        </is>
      </c>
    </row>
    <row r="3">
      <c r="A3" s="3" t="inlineStr">
        <is>
          <t>Milan (Base)</t>
        </is>
      </c>
      <c r="B3" s="17">
        <f>Assumptions!$B$9</f>
        <v/>
      </c>
      <c r="C3" s="9">
        <f>Assumptions!$B$8</f>
        <v/>
      </c>
      <c r="D3" s="10">
        <f>B3*Assumptions!$B$14*C3</f>
        <v/>
      </c>
      <c r="E3" s="10">
        <f>D3*12</f>
        <v/>
      </c>
      <c r="F3" s="20">
        <f>1-Assumptions!$B$4-Assumptions!$B$5-Assumptions!$B$6-Assumptions!$B$7</f>
        <v/>
      </c>
      <c r="G3" s="10">
        <f>E3*F3</f>
        <v/>
      </c>
      <c r="H3" s="10">
        <f>Assumptions!$B$10</f>
        <v/>
      </c>
      <c r="I3" s="21">
        <f>H3/G3</f>
        <v/>
      </c>
    </row>
    <row r="4">
      <c r="A4" s="3" t="inlineStr">
        <is>
          <t>Rome</t>
        </is>
      </c>
      <c r="B4" s="17">
        <f>Assumptions!$B$9*0.9</f>
        <v/>
      </c>
      <c r="C4" s="9">
        <f>Assumptions!$B$8*1.05</f>
        <v/>
      </c>
      <c r="D4" s="10">
        <f>B4*Assumptions!$B$14*C4</f>
        <v/>
      </c>
      <c r="E4" s="10">
        <f>D4*12</f>
        <v/>
      </c>
      <c r="F4" s="20">
        <f>F3</f>
        <v/>
      </c>
      <c r="G4" s="10">
        <f>E4*F4</f>
        <v/>
      </c>
      <c r="H4" s="10">
        <f>Assumptions!$B$10*1.1</f>
        <v/>
      </c>
      <c r="I4" s="21">
        <f>H4/G4</f>
        <v/>
      </c>
    </row>
    <row r="5">
      <c r="A5" s="3" t="inlineStr">
        <is>
          <t>Naples</t>
        </is>
      </c>
      <c r="B5" s="17">
        <f>Assumptions!$B$9*0.8</f>
        <v/>
      </c>
      <c r="C5" s="9">
        <f>Assumptions!$B$8*0.95</f>
        <v/>
      </c>
      <c r="D5" s="10">
        <f>B5*Assumptions!$B$14*C5</f>
        <v/>
      </c>
      <c r="E5" s="10">
        <f>D5*12</f>
        <v/>
      </c>
      <c r="F5" s="20">
        <f>F3</f>
        <v/>
      </c>
      <c r="G5" s="10">
        <f>E5*F5</f>
        <v/>
      </c>
      <c r="H5" s="10">
        <f>Assumptions!$B$10*0.9</f>
        <v/>
      </c>
      <c r="I5" s="21">
        <f>H5/G5</f>
        <v/>
      </c>
    </row>
    <row r="6">
      <c r="A6" s="3" t="inlineStr">
        <is>
          <t>Turin</t>
        </is>
      </c>
      <c r="B6" s="17">
        <f>Assumptions!$B$9*0.85</f>
        <v/>
      </c>
      <c r="C6" s="9">
        <f>Assumptions!$B$8*1.0</f>
        <v/>
      </c>
      <c r="D6" s="10">
        <f>B6*Assumptions!$B$14*C6</f>
        <v/>
      </c>
      <c r="E6" s="10">
        <f>D6*12</f>
        <v/>
      </c>
      <c r="F6" s="20">
        <f>F3</f>
        <v/>
      </c>
      <c r="G6" s="10">
        <f>E6*F6</f>
        <v/>
      </c>
      <c r="H6" s="10">
        <f>Assumptions!$B$10*0.95</f>
        <v/>
      </c>
      <c r="I6" s="21">
        <f>H6/G6</f>
        <v/>
      </c>
    </row>
    <row r="7">
      <c r="A7" s="11" t="inlineStr">
        <is>
          <t>Total</t>
        </is>
      </c>
      <c r="B7" s="17">
        <f>SUM(B3:B6)</f>
        <v/>
      </c>
      <c r="C7" s="9">
        <f>AVERAGE(C3:C6)</f>
        <v/>
      </c>
      <c r="D7" s="10">
        <f>SUM(D3:D6)</f>
        <v/>
      </c>
      <c r="E7" s="10">
        <f>SUM(E3:E6)</f>
        <v/>
      </c>
      <c r="F7" s="20">
        <f>AVERAGE(F3:F6)</f>
        <v/>
      </c>
      <c r="G7" s="10">
        <f>SUM(G3:G6)</f>
        <v/>
      </c>
      <c r="H7" s="10">
        <f>SUM(H3:H6)</f>
        <v/>
      </c>
      <c r="I7" s="21">
        <f>H7/G7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  <col width="30" customWidth="1" min="3" max="3"/>
    <col width="33" customWidth="1" min="4" max="4"/>
  </cols>
  <sheetData>
    <row r="1">
      <c r="A1" s="1" t="inlineStr">
        <is>
          <t>DCF Valuation</t>
        </is>
      </c>
      <c r="B1" s="2" t="n"/>
      <c r="C1" s="2" t="n"/>
      <c r="D1" s="2" t="n"/>
    </row>
    <row r="2">
      <c r="A2" s="3" t="inlineStr">
        <is>
          <t>Year</t>
        </is>
      </c>
      <c r="B2" s="3" t="inlineStr">
        <is>
          <t>FCF</t>
        </is>
      </c>
      <c r="C2" s="3" t="inlineStr">
        <is>
          <t>Discount Factor</t>
        </is>
      </c>
      <c r="D2" s="3" t="inlineStr">
        <is>
          <t>PV of FCF</t>
        </is>
      </c>
    </row>
    <row r="3">
      <c r="A3" s="17" t="n">
        <v>1</v>
      </c>
      <c r="B3" s="10">
        <f>CashFlow!B8</f>
        <v/>
      </c>
      <c r="C3" s="15">
        <f>1/(1+Assumptions!$B$12)^A3</f>
        <v/>
      </c>
      <c r="D3" s="10">
        <f>B3*C3</f>
        <v/>
      </c>
    </row>
    <row r="4">
      <c r="A4" s="17" t="n">
        <v>2</v>
      </c>
      <c r="B4" s="10">
        <f>CashFlow!C8</f>
        <v/>
      </c>
      <c r="C4" s="15">
        <f>1/(1+Assumptions!$B$12)^A4</f>
        <v/>
      </c>
      <c r="D4" s="10">
        <f>B4*C4</f>
        <v/>
      </c>
    </row>
    <row r="5">
      <c r="A5" s="17" t="n">
        <v>3</v>
      </c>
      <c r="B5" s="10">
        <f>CashFlow!D8</f>
        <v/>
      </c>
      <c r="C5" s="15">
        <f>1/(1+Assumptions!$B$12)^A5</f>
        <v/>
      </c>
      <c r="D5" s="10">
        <f>B5*C5</f>
        <v/>
      </c>
    </row>
    <row r="6">
      <c r="A6" s="17" t="n">
        <v>4</v>
      </c>
      <c r="B6" s="10">
        <f>CashFlow!E8</f>
        <v/>
      </c>
      <c r="C6" s="15">
        <f>1/(1+Assumptions!$B$12)^A6</f>
        <v/>
      </c>
      <c r="D6" s="10">
        <f>B6*C6</f>
        <v/>
      </c>
    </row>
    <row r="7">
      <c r="A7" s="17" t="n">
        <v>5</v>
      </c>
      <c r="B7" s="10">
        <f>CashFlow!F8</f>
        <v/>
      </c>
      <c r="C7" s="15">
        <f>1/(1+Assumptions!$B$12)^A7</f>
        <v/>
      </c>
      <c r="D7" s="10">
        <f>B7*C7</f>
        <v/>
      </c>
    </row>
    <row r="8">
      <c r="A8" s="3" t="inlineStr">
        <is>
          <t>Terminal Value</t>
        </is>
      </c>
      <c r="B8" s="10">
        <f>CashFlow!F8*(1+Assumptions!$B$13)/(Assumptions!$B$12-Assumptions!$B$13)</f>
        <v/>
      </c>
      <c r="C8" s="15">
        <f>1/(1+Assumptions!$B$12)^5</f>
        <v/>
      </c>
      <c r="D8" s="10">
        <f>B8*C8</f>
        <v/>
      </c>
    </row>
    <row r="9">
      <c r="A9" s="11" t="inlineStr">
        <is>
          <t>Enterprise Value</t>
        </is>
      </c>
      <c r="B9" s="2" t="n"/>
      <c r="C9" s="2" t="n"/>
      <c r="D9" s="10">
        <f>SUM(D3:D8)</f>
        <v/>
      </c>
    </row>
    <row r="10">
      <c r="A10" s="3" t="inlineStr">
        <is>
          <t>Less: Net Debt</t>
        </is>
      </c>
      <c r="B10" s="2" t="n"/>
      <c r="C10" s="2" t="n"/>
      <c r="D10" s="10" t="n">
        <v>0</v>
      </c>
    </row>
    <row r="11">
      <c r="A11" s="11" t="inlineStr">
        <is>
          <t>Equity Value</t>
        </is>
      </c>
      <c r="B11" s="2" t="n"/>
      <c r="C11" s="2" t="n"/>
      <c r="D11" s="10">
        <f>D9-D10</f>
        <v/>
      </c>
    </row>
    <row r="12">
      <c r="A12" s="3" t="inlineStr">
        <is>
          <t>IRR</t>
        </is>
      </c>
      <c r="B12" s="2" t="n"/>
      <c r="C12" s="2" t="n"/>
      <c r="D12" s="20">
        <f>IRR(B3:B7,-Assumptions!$B$10)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EBITDA Sensitivity (Annual)</t>
        </is>
      </c>
      <c r="B1" s="2" t="n"/>
      <c r="C1" s="2" t="n"/>
      <c r="D1" s="2" t="n"/>
      <c r="E1" s="2" t="n"/>
      <c r="F1" s="2" t="n"/>
    </row>
    <row r="2">
      <c r="A2" s="1" t="inlineStr">
        <is>
          <t>Covers per Day \ Ticket</t>
        </is>
      </c>
      <c r="B2" s="22">
        <f>Assumptions!$B$8*0.9</f>
        <v/>
      </c>
      <c r="C2" s="22">
        <f>Assumptions!$B$8*0.95</f>
        <v/>
      </c>
      <c r="D2" s="22">
        <f>Assumptions!$B$8</f>
        <v/>
      </c>
      <c r="E2" s="22">
        <f>Assumptions!$B$8*1.05</f>
        <v/>
      </c>
      <c r="F2" s="22">
        <f>Assumptions!$B$8*1.1</f>
        <v/>
      </c>
    </row>
    <row r="3">
      <c r="A3" s="16">
        <f>Assumptions!$B$9*0.9</f>
        <v/>
      </c>
      <c r="B3" s="10">
        <f>((A3*Assumptions!$B$14*B$2*(1-Assumptions!$B$4-Assumptions!$B$6-Assumptions!$B$7))-(Assumptions!$B$3+Personnel!$E$6))*12</f>
        <v/>
      </c>
      <c r="C3" s="10">
        <f>((A3*Assumptions!$B$14*C$2*(1-Assumptions!$B$4-Assumptions!$B$6-Assumptions!$B$7))-(Assumptions!$B$3+Personnel!$E$6))*12</f>
        <v/>
      </c>
      <c r="D3" s="10">
        <f>((A3*Assumptions!$B$14*D$2*(1-Assumptions!$B$4-Assumptions!$B$6-Assumptions!$B$7))-(Assumptions!$B$3+Personnel!$E$6))*12</f>
        <v/>
      </c>
      <c r="E3" s="10">
        <f>((A3*Assumptions!$B$14*E$2*(1-Assumptions!$B$4-Assumptions!$B$6-Assumptions!$B$7))-(Assumptions!$B$3+Personnel!$E$6))*12</f>
        <v/>
      </c>
      <c r="F3" s="10">
        <f>((A3*Assumptions!$B$14*F$2*(1-Assumptions!$B$4-Assumptions!$B$6-Assumptions!$B$7))-(Assumptions!$B$3+Personnel!$E$6))*12</f>
        <v/>
      </c>
    </row>
    <row r="4">
      <c r="A4" s="16">
        <f>Assumptions!$B$9*0.95</f>
        <v/>
      </c>
      <c r="B4" s="10">
        <f>((A4*Assumptions!$B$14*B$2*(1-Assumptions!$B$4-Assumptions!$B$6-Assumptions!$B$7))-(Assumptions!$B$3+Personnel!$E$6))*12</f>
        <v/>
      </c>
      <c r="C4" s="10">
        <f>((A4*Assumptions!$B$14*C$2*(1-Assumptions!$B$4-Assumptions!$B$6-Assumptions!$B$7))-(Assumptions!$B$3+Personnel!$E$6))*12</f>
        <v/>
      </c>
      <c r="D4" s="10">
        <f>((A4*Assumptions!$B$14*D$2*(1-Assumptions!$B$4-Assumptions!$B$6-Assumptions!$B$7))-(Assumptions!$B$3+Personnel!$E$6))*12</f>
        <v/>
      </c>
      <c r="E4" s="10">
        <f>((A4*Assumptions!$B$14*E$2*(1-Assumptions!$B$4-Assumptions!$B$6-Assumptions!$B$7))-(Assumptions!$B$3+Personnel!$E$6))*12</f>
        <v/>
      </c>
      <c r="F4" s="10">
        <f>((A4*Assumptions!$B$14*F$2*(1-Assumptions!$B$4-Assumptions!$B$6-Assumptions!$B$7))-(Assumptions!$B$3+Personnel!$E$6))*12</f>
        <v/>
      </c>
    </row>
    <row r="5">
      <c r="A5" s="16">
        <f>Assumptions!$B$9</f>
        <v/>
      </c>
      <c r="B5" s="10">
        <f>((A5*Assumptions!$B$14*B$2*(1-Assumptions!$B$4-Assumptions!$B$6-Assumptions!$B$7))-(Assumptions!$B$3+Personnel!$E$6))*12</f>
        <v/>
      </c>
      <c r="C5" s="10">
        <f>((A5*Assumptions!$B$14*C$2*(1-Assumptions!$B$4-Assumptions!$B$6-Assumptions!$B$7))-(Assumptions!$B$3+Personnel!$E$6))*12</f>
        <v/>
      </c>
      <c r="D5" s="10">
        <f>((A5*Assumptions!$B$14*D$2*(1-Assumptions!$B$4-Assumptions!$B$6-Assumptions!$B$7))-(Assumptions!$B$3+Personnel!$E$6))*12</f>
        <v/>
      </c>
      <c r="E5" s="10">
        <f>((A5*Assumptions!$B$14*E$2*(1-Assumptions!$B$4-Assumptions!$B$6-Assumptions!$B$7))-(Assumptions!$B$3+Personnel!$E$6))*12</f>
        <v/>
      </c>
      <c r="F5" s="10">
        <f>((A5*Assumptions!$B$14*F$2*(1-Assumptions!$B$4-Assumptions!$B$6-Assumptions!$B$7))-(Assumptions!$B$3+Personnel!$E$6))*12</f>
        <v/>
      </c>
    </row>
    <row r="6">
      <c r="A6" s="16">
        <f>Assumptions!$B$9*1.05</f>
        <v/>
      </c>
      <c r="B6" s="10">
        <f>((A6*Assumptions!$B$14*B$2*(1-Assumptions!$B$4-Assumptions!$B$6-Assumptions!$B$7))-(Assumptions!$B$3+Personnel!$E$6))*12</f>
        <v/>
      </c>
      <c r="C6" s="10">
        <f>((A6*Assumptions!$B$14*C$2*(1-Assumptions!$B$4-Assumptions!$B$6-Assumptions!$B$7))-(Assumptions!$B$3+Personnel!$E$6))*12</f>
        <v/>
      </c>
      <c r="D6" s="10">
        <f>((A6*Assumptions!$B$14*D$2*(1-Assumptions!$B$4-Assumptions!$B$6-Assumptions!$B$7))-(Assumptions!$B$3+Personnel!$E$6))*12</f>
        <v/>
      </c>
      <c r="E6" s="10">
        <f>((A6*Assumptions!$B$14*E$2*(1-Assumptions!$B$4-Assumptions!$B$6-Assumptions!$B$7))-(Assumptions!$B$3+Personnel!$E$6))*12</f>
        <v/>
      </c>
      <c r="F6" s="10">
        <f>((A6*Assumptions!$B$14*F$2*(1-Assumptions!$B$4-Assumptions!$B$6-Assumptions!$B$7))-(Assumptions!$B$3+Personnel!$E$6))*12</f>
        <v/>
      </c>
    </row>
    <row r="7">
      <c r="A7" s="16">
        <f>Assumptions!$B$9*1.1</f>
        <v/>
      </c>
      <c r="B7" s="10">
        <f>((A7*Assumptions!$B$14*B$2*(1-Assumptions!$B$4-Assumptions!$B$6-Assumptions!$B$7))-(Assumptions!$B$3+Personnel!$E$6))*12</f>
        <v/>
      </c>
      <c r="C7" s="10">
        <f>((A7*Assumptions!$B$14*C$2*(1-Assumptions!$B$4-Assumptions!$B$6-Assumptions!$B$7))-(Assumptions!$B$3+Personnel!$E$6))*12</f>
        <v/>
      </c>
      <c r="D7" s="10">
        <f>((A7*Assumptions!$B$14*D$2*(1-Assumptions!$B$4-Assumptions!$B$6-Assumptions!$B$7))-(Assumptions!$B$3+Personnel!$E$6))*12</f>
        <v/>
      </c>
      <c r="E7" s="10">
        <f>((A7*Assumptions!$B$14*E$2*(1-Assumptions!$B$4-Assumptions!$B$6-Assumptions!$B$7))-(Assumptions!$B$3+Personnel!$E$6))*12</f>
        <v/>
      </c>
      <c r="F7" s="10">
        <f>((A7*Assumptions!$B$14*F$2*(1-Assumptions!$B$4-Assumptions!$B$6-Assumptions!$B$7))-(Assumptions!$B$3+Personnel!$E$6))*12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2026-06-04T11:40:55Z</dcterms:created>
  <dcterms:modified xsi:type="dcterms:W3CDTF">2026-06-04T11:40:55Z</dcterms:modified>
</cp:coreProperties>
</file>