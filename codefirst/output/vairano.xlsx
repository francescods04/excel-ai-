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osti" sheetId="2" state="visible" r:id="rId2"/>
    <sheet name="Ricavi" sheetId="3" state="visible" r:id="rId3"/>
    <sheet name="PianoFinanziario" sheetId="4" state="visible" r:id="rId4"/>
    <sheet name="Tempistiche" sheetId="5" state="visible" r:id="rId5"/>
    <sheet name="CashFlow" sheetId="6" state="visible" r:id="rId6"/>
    <sheet name="ContoEconomico" sheetId="7" state="visible" r:id="rId7"/>
    <sheet name="Indici" sheetId="8" state="visible" r:id="rId8"/>
    <sheet name="Sensitiv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3" fontId="0" fillId="3" borderId="1" pivotButton="0" quotePrefix="0" xfId="0"/>
    <xf numFmtId="0" fontId="0" fillId="0" borderId="1" pivotButton="0" quotePrefix="0" xfId="0"/>
    <xf numFmtId="164" fontId="0" fillId="3" borderId="1" pivotButton="0" quotePrefix="0" xfId="0"/>
    <xf numFmtId="3" fontId="0" fillId="4" borderId="1" pivotButton="0" quotePrefix="0" xfId="0"/>
    <xf numFmtId="3" fontId="0" fillId="0" borderId="1" pivotButton="0" quotePrefix="0" xfId="0"/>
    <xf numFmtId="164" fontId="0" fillId="4" borderId="1" pivotButton="0" quotePrefix="0" xfId="0"/>
    <xf numFmtId="3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</cols>
  <sheetData>
    <row r="1">
      <c r="A1" s="1" t="inlineStr">
        <is>
          <t>Parametro</t>
        </is>
      </c>
      <c r="B1" s="1" t="inlineStr">
        <is>
          <t>Valore</t>
        </is>
      </c>
      <c r="C1" s="1" t="inlineStr">
        <is>
          <t>Unità</t>
        </is>
      </c>
    </row>
    <row r="2">
      <c r="A2" s="2" t="inlineStr">
        <is>
          <t>Prezzo vendita</t>
        </is>
      </c>
      <c r="B2" s="3" t="n">
        <v>2200</v>
      </c>
      <c r="C2" s="4" t="inlineStr">
        <is>
          <t>€/mq</t>
        </is>
      </c>
    </row>
    <row r="3">
      <c r="A3" s="2" t="inlineStr">
        <is>
          <t>Costo costruzione</t>
        </is>
      </c>
      <c r="B3" s="3" t="n">
        <v>850</v>
      </c>
      <c r="C3" s="4" t="inlineStr">
        <is>
          <t>€/mq</t>
        </is>
      </c>
    </row>
    <row r="4">
      <c r="A4" s="2" t="inlineStr">
        <is>
          <t>Oneri</t>
        </is>
      </c>
      <c r="B4" s="3" t="n">
        <v>120</v>
      </c>
      <c r="C4" s="4" t="inlineStr">
        <is>
          <t>€/mq</t>
        </is>
      </c>
    </row>
    <row r="5">
      <c r="A5" s="2" t="inlineStr">
        <is>
          <t>Progettazione</t>
        </is>
      </c>
      <c r="B5" s="5" t="n">
        <v>0.05</v>
      </c>
      <c r="C5" s="4" t="inlineStr">
        <is>
          <t>%</t>
        </is>
      </c>
    </row>
    <row r="6">
      <c r="A6" s="2" t="inlineStr">
        <is>
          <t>DL</t>
        </is>
      </c>
      <c r="B6" s="5" t="n">
        <v>0.03</v>
      </c>
      <c r="C6" s="4" t="inlineStr">
        <is>
          <t>%</t>
        </is>
      </c>
    </row>
    <row r="7">
      <c r="A7" s="2" t="inlineStr">
        <is>
          <t>Collaudo</t>
        </is>
      </c>
      <c r="B7" s="5" t="n">
        <v>0.015</v>
      </c>
      <c r="C7" s="4" t="inlineStr">
        <is>
          <t>%</t>
        </is>
      </c>
    </row>
    <row r="8">
      <c r="A8" s="2" t="inlineStr">
        <is>
          <t>Commercializzazione</t>
        </is>
      </c>
      <c r="B8" s="5" t="n">
        <v>0.03</v>
      </c>
      <c r="C8" s="4" t="inlineStr">
        <is>
          <t>%</t>
        </is>
      </c>
    </row>
    <row r="9">
      <c r="A9" s="2" t="inlineStr">
        <is>
          <t>Oneri finanziari</t>
        </is>
      </c>
      <c r="B9" s="5" t="n">
        <v>0.045</v>
      </c>
      <c r="C9" s="4" t="inlineStr">
        <is>
          <t>%</t>
        </is>
      </c>
    </row>
    <row r="10">
      <c r="A10" s="2" t="inlineStr">
        <is>
          <t>Imprevisti</t>
        </is>
      </c>
      <c r="B10" s="5" t="n">
        <v>0.05</v>
      </c>
      <c r="C10" s="4" t="inlineStr">
        <is>
          <t>%</t>
        </is>
      </c>
    </row>
    <row r="11">
      <c r="A11" s="2" t="inlineStr">
        <is>
          <t>Durata</t>
        </is>
      </c>
      <c r="B11" s="3" t="n">
        <v>30</v>
      </c>
      <c r="C11" s="4" t="inlineStr">
        <is>
          <t>mesi</t>
        </is>
      </c>
    </row>
    <row r="12">
      <c r="A12" s="2" t="inlineStr">
        <is>
          <t>Superficie totale</t>
        </is>
      </c>
      <c r="B12" s="3" t="n">
        <v>10000</v>
      </c>
      <c r="C12" s="4" t="inlineStr">
        <is>
          <t>mq</t>
        </is>
      </c>
    </row>
    <row r="13">
      <c r="A13" s="2" t="inlineStr">
        <is>
          <t>IVA vendita</t>
        </is>
      </c>
      <c r="B13" s="5" t="n">
        <v>0.04</v>
      </c>
      <c r="C13" s="4" t="inlineStr">
        <is>
          <t>%</t>
        </is>
      </c>
    </row>
    <row r="14">
      <c r="A14" s="2" t="inlineStr">
        <is>
          <t>Equity %</t>
        </is>
      </c>
      <c r="B14" s="5" t="n">
        <v>0.3</v>
      </c>
      <c r="C14" s="4" t="inlineStr">
        <is>
          <t>%</t>
        </is>
      </c>
    </row>
    <row r="15">
      <c r="A15" s="2" t="inlineStr">
        <is>
          <t>Debito %</t>
        </is>
      </c>
      <c r="B15" s="5" t="n">
        <v>0.7</v>
      </c>
      <c r="C15" s="4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Voce di costo</t>
        </is>
      </c>
      <c r="B1" s="1" t="inlineStr">
        <is>
          <t>Importo</t>
        </is>
      </c>
    </row>
    <row r="2">
      <c r="A2" s="2" t="inlineStr">
        <is>
          <t>Terreno</t>
        </is>
      </c>
      <c r="B2" s="3" t="n">
        <v>800000</v>
      </c>
    </row>
    <row r="3">
      <c r="A3" s="2" t="inlineStr">
        <is>
          <t>Costruzione</t>
        </is>
      </c>
      <c r="B3" s="6">
        <f>Assumptions!B3*Assumptions!B12</f>
        <v/>
      </c>
    </row>
    <row r="4">
      <c r="A4" s="2" t="inlineStr">
        <is>
          <t>Urbanizzazione</t>
        </is>
      </c>
      <c r="B4" s="6">
        <f>Assumptions!B4*Assumptions!B12</f>
        <v/>
      </c>
    </row>
    <row r="5">
      <c r="A5" s="2" t="inlineStr">
        <is>
          <t>Progettazione</t>
        </is>
      </c>
      <c r="B5" s="6">
        <f>Assumptions!B5*B3</f>
        <v/>
      </c>
    </row>
    <row r="6">
      <c r="A6" s="2" t="inlineStr">
        <is>
          <t>DL</t>
        </is>
      </c>
      <c r="B6" s="6">
        <f>Assumptions!B6*B3</f>
        <v/>
      </c>
    </row>
    <row r="7">
      <c r="A7" s="2" t="inlineStr">
        <is>
          <t>Collaudo</t>
        </is>
      </c>
      <c r="B7" s="6">
        <f>Assumptions!B7*B3</f>
        <v/>
      </c>
    </row>
    <row r="8">
      <c r="A8" s="2" t="inlineStr">
        <is>
          <t>Commercializzazione</t>
        </is>
      </c>
      <c r="B8" s="6">
        <f>Assumptions!B8*Ricavi!B2</f>
        <v/>
      </c>
    </row>
    <row r="9">
      <c r="A9" s="2" t="inlineStr">
        <is>
          <t>Oneri finanziari</t>
        </is>
      </c>
      <c r="B9" s="6">
        <f>Assumptions!B9*PianoFinanziario!B4</f>
        <v/>
      </c>
    </row>
    <row r="10">
      <c r="A10" s="2" t="inlineStr">
        <is>
          <t>Imprevisti</t>
        </is>
      </c>
      <c r="B10" s="6">
        <f>Assumptions!B10*(B2+B3+B4+B5+B6+B7+B8+B9)</f>
        <v/>
      </c>
    </row>
    <row r="11">
      <c r="A11" s="2" t="inlineStr">
        <is>
          <t>Costo Totale</t>
        </is>
      </c>
      <c r="B11" s="6">
        <f>SUM(B2:B10)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Voce</t>
        </is>
      </c>
      <c r="B1" s="1" t="inlineStr">
        <is>
          <t>Importo</t>
        </is>
      </c>
    </row>
    <row r="2">
      <c r="A2" s="2" t="inlineStr">
        <is>
          <t>Vendita lorda</t>
        </is>
      </c>
      <c r="B2" s="6">
        <f>Assumptions!B2*Assumptions!B12</f>
        <v/>
      </c>
    </row>
    <row r="3">
      <c r="A3" s="2" t="inlineStr">
        <is>
          <t>IVA 4%</t>
        </is>
      </c>
      <c r="B3" s="6">
        <f>B2*Assumptions!B13</f>
        <v/>
      </c>
    </row>
    <row r="4">
      <c r="A4" s="2" t="inlineStr">
        <is>
          <t>Ricavo Netto</t>
        </is>
      </c>
      <c r="B4" s="6">
        <f>B2-B3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Voce</t>
        </is>
      </c>
      <c r="B1" s="1" t="inlineStr">
        <is>
          <t>Importo</t>
        </is>
      </c>
    </row>
    <row r="2">
      <c r="A2" s="2" t="inlineStr">
        <is>
          <t>Costo Totale</t>
        </is>
      </c>
      <c r="B2" s="6">
        <f>Costi!B11</f>
        <v/>
      </c>
    </row>
    <row r="3">
      <c r="A3" s="2" t="inlineStr">
        <is>
          <t>Equity (30%)</t>
        </is>
      </c>
      <c r="B3" s="6">
        <f>B2*Assumptions!B14</f>
        <v/>
      </c>
    </row>
    <row r="4">
      <c r="A4" s="2" t="inlineStr">
        <is>
          <t>Debito (70%)</t>
        </is>
      </c>
      <c r="B4" s="6">
        <f>B2*Assumptions!B15</f>
        <v/>
      </c>
    </row>
    <row r="5">
      <c r="A5" s="2" t="inlineStr">
        <is>
          <t>Interessi annui</t>
        </is>
      </c>
      <c r="B5" s="6">
        <f>B4*Assumptions!B9</f>
        <v/>
      </c>
    </row>
    <row r="6">
      <c r="A6" s="2" t="inlineStr">
        <is>
          <t>Rimborso</t>
        </is>
      </c>
      <c r="B6" s="6">
        <f>B4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9" customWidth="1" min="3" max="3"/>
    <col width="7" customWidth="1" min="4" max="4"/>
  </cols>
  <sheetData>
    <row r="1">
      <c r="A1" s="1" t="inlineStr">
        <is>
          <t>Mese</t>
        </is>
      </c>
      <c r="B1" s="1" t="inlineStr">
        <is>
          <t>Attività</t>
        </is>
      </c>
      <c r="C1" s="1" t="inlineStr">
        <is>
          <t>Inizio</t>
        </is>
      </c>
      <c r="D1" s="1" t="inlineStr">
        <is>
          <t>Fine</t>
        </is>
      </c>
    </row>
    <row r="2">
      <c r="A2" s="7" t="n">
        <v>1</v>
      </c>
      <c r="B2" s="4" t="inlineStr">
        <is>
          <t>Progettazione</t>
        </is>
      </c>
      <c r="C2" s="7" t="n">
        <v>1</v>
      </c>
      <c r="D2" s="7" t="n">
        <v>6</v>
      </c>
    </row>
    <row r="3">
      <c r="A3" s="7" t="n">
        <v>2</v>
      </c>
      <c r="B3" s="4" t="inlineStr">
        <is>
          <t>Permessi</t>
        </is>
      </c>
      <c r="C3" s="7" t="n">
        <v>4</v>
      </c>
      <c r="D3" s="7" t="n">
        <v>8</v>
      </c>
    </row>
    <row r="4">
      <c r="A4" s="7" t="n">
        <v>3</v>
      </c>
      <c r="B4" s="4" t="inlineStr">
        <is>
          <t>Scavi e fondazioni</t>
        </is>
      </c>
      <c r="C4" s="7" t="n">
        <v>7</v>
      </c>
      <c r="D4" s="7" t="n">
        <v>12</v>
      </c>
    </row>
    <row r="5">
      <c r="A5" s="7" t="n">
        <v>4</v>
      </c>
      <c r="B5" s="4" t="inlineStr">
        <is>
          <t>Struttura</t>
        </is>
      </c>
      <c r="C5" s="7" t="n">
        <v>10</v>
      </c>
      <c r="D5" s="7" t="n">
        <v>18</v>
      </c>
    </row>
    <row r="6">
      <c r="A6" s="7" t="n">
        <v>5</v>
      </c>
      <c r="B6" s="4" t="inlineStr">
        <is>
          <t>Tamponamenti</t>
        </is>
      </c>
      <c r="C6" s="7" t="n">
        <v>16</v>
      </c>
      <c r="D6" s="7" t="n">
        <v>22</v>
      </c>
    </row>
    <row r="7">
      <c r="A7" s="7" t="n">
        <v>6</v>
      </c>
      <c r="B7" s="4" t="inlineStr">
        <is>
          <t>Impianti</t>
        </is>
      </c>
      <c r="C7" s="7" t="n">
        <v>18</v>
      </c>
      <c r="D7" s="7" t="n">
        <v>26</v>
      </c>
    </row>
    <row r="8">
      <c r="A8" s="7" t="n">
        <v>7</v>
      </c>
      <c r="B8" s="4" t="inlineStr">
        <is>
          <t>Finiture</t>
        </is>
      </c>
      <c r="C8" s="7" t="n">
        <v>22</v>
      </c>
      <c r="D8" s="7" t="n">
        <v>28</v>
      </c>
    </row>
    <row r="9">
      <c r="A9" s="7" t="n">
        <v>8</v>
      </c>
      <c r="B9" s="4" t="inlineStr">
        <is>
          <t>Collaudo</t>
        </is>
      </c>
      <c r="C9" s="7" t="n">
        <v>28</v>
      </c>
      <c r="D9" s="7" t="n">
        <v>30</v>
      </c>
    </row>
    <row r="10">
      <c r="A10" s="7" t="n">
        <v>9</v>
      </c>
      <c r="B10" s="4" t="inlineStr">
        <is>
          <t>Commercializzazione</t>
        </is>
      </c>
      <c r="C10" s="7" t="n">
        <v>1</v>
      </c>
      <c r="D10" s="7" t="n">
        <v>30</v>
      </c>
    </row>
    <row r="11">
      <c r="A11" s="4" t="n"/>
      <c r="B11" s="4" t="n"/>
      <c r="C11" s="4" t="n"/>
      <c r="D11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7" customWidth="1" min="5" max="5"/>
  </cols>
  <sheetData>
    <row r="1">
      <c r="A1" s="1" t="inlineStr">
        <is>
          <t>Mese</t>
        </is>
      </c>
      <c r="B1" s="1" t="inlineStr">
        <is>
          <t>Uscite</t>
        </is>
      </c>
      <c r="C1" s="1" t="inlineStr">
        <is>
          <t>Entrate</t>
        </is>
      </c>
      <c r="D1" s="1" t="inlineStr">
        <is>
          <t>Saldo</t>
        </is>
      </c>
      <c r="E1" s="1" t="inlineStr">
        <is>
          <t>Saldo Cumulato</t>
        </is>
      </c>
    </row>
    <row r="2">
      <c r="A2" s="7" t="n">
        <v>1</v>
      </c>
      <c r="B2" s="6">
        <f>Costi!B11/30</f>
        <v/>
      </c>
      <c r="C2" s="6">
        <f>0</f>
        <v/>
      </c>
      <c r="D2" s="6">
        <f>C2-B2</f>
        <v/>
      </c>
      <c r="E2" s="6">
        <f>D2</f>
        <v/>
      </c>
    </row>
    <row r="3">
      <c r="A3" s="7" t="n">
        <v>2</v>
      </c>
      <c r="B3" s="6">
        <f>Costi!B11/30</f>
        <v/>
      </c>
      <c r="C3" s="6">
        <f>0</f>
        <v/>
      </c>
      <c r="D3" s="6">
        <f>C3-B3</f>
        <v/>
      </c>
      <c r="E3" s="6">
        <f>E2+D3</f>
        <v/>
      </c>
    </row>
    <row r="4">
      <c r="A4" s="7" t="n">
        <v>3</v>
      </c>
      <c r="B4" s="6">
        <f>Costi!B11/30</f>
        <v/>
      </c>
      <c r="C4" s="6">
        <f>0</f>
        <v/>
      </c>
      <c r="D4" s="6">
        <f>C4-B4</f>
        <v/>
      </c>
      <c r="E4" s="6">
        <f>E3+D4</f>
        <v/>
      </c>
    </row>
    <row r="5">
      <c r="A5" s="7" t="n">
        <v>4</v>
      </c>
      <c r="B5" s="6">
        <f>Costi!B11/30</f>
        <v/>
      </c>
      <c r="C5" s="6">
        <f>0</f>
        <v/>
      </c>
      <c r="D5" s="6">
        <f>C5-B5</f>
        <v/>
      </c>
      <c r="E5" s="6">
        <f>E4+D5</f>
        <v/>
      </c>
    </row>
    <row r="6">
      <c r="A6" s="7" t="n">
        <v>5</v>
      </c>
      <c r="B6" s="6">
        <f>Costi!B11/30</f>
        <v/>
      </c>
      <c r="C6" s="6">
        <f>0</f>
        <v/>
      </c>
      <c r="D6" s="6">
        <f>C6-B6</f>
        <v/>
      </c>
      <c r="E6" s="6">
        <f>E5+D6</f>
        <v/>
      </c>
    </row>
    <row r="7">
      <c r="A7" s="7" t="n">
        <v>6</v>
      </c>
      <c r="B7" s="6">
        <f>Costi!B11/30</f>
        <v/>
      </c>
      <c r="C7" s="6">
        <f>0</f>
        <v/>
      </c>
      <c r="D7" s="6">
        <f>C7-B7</f>
        <v/>
      </c>
      <c r="E7" s="6">
        <f>E6+D7</f>
        <v/>
      </c>
    </row>
    <row r="8">
      <c r="A8" s="7" t="n">
        <v>7</v>
      </c>
      <c r="B8" s="6">
        <f>Costi!B11/30</f>
        <v/>
      </c>
      <c r="C8" s="6">
        <f>0</f>
        <v/>
      </c>
      <c r="D8" s="6">
        <f>C8-B8</f>
        <v/>
      </c>
      <c r="E8" s="6">
        <f>E7+D8</f>
        <v/>
      </c>
    </row>
    <row r="9">
      <c r="A9" s="7" t="n">
        <v>8</v>
      </c>
      <c r="B9" s="6">
        <f>Costi!B11/30</f>
        <v/>
      </c>
      <c r="C9" s="6">
        <f>0</f>
        <v/>
      </c>
      <c r="D9" s="6">
        <f>C9-B9</f>
        <v/>
      </c>
      <c r="E9" s="6">
        <f>E8+D9</f>
        <v/>
      </c>
    </row>
    <row r="10">
      <c r="A10" s="7" t="n">
        <v>9</v>
      </c>
      <c r="B10" s="6">
        <f>Costi!B11/30</f>
        <v/>
      </c>
      <c r="C10" s="6">
        <f>0</f>
        <v/>
      </c>
      <c r="D10" s="6">
        <f>C10-B10</f>
        <v/>
      </c>
      <c r="E10" s="6">
        <f>E9+D10</f>
        <v/>
      </c>
    </row>
    <row r="11">
      <c r="A11" s="7" t="n">
        <v>10</v>
      </c>
      <c r="B11" s="6">
        <f>Costi!B11/30</f>
        <v/>
      </c>
      <c r="C11" s="6">
        <f>0</f>
        <v/>
      </c>
      <c r="D11" s="6">
        <f>C11-B11</f>
        <v/>
      </c>
      <c r="E11" s="6">
        <f>E10+D11</f>
        <v/>
      </c>
    </row>
    <row r="12">
      <c r="A12" s="7" t="n">
        <v>11</v>
      </c>
      <c r="B12" s="6">
        <f>Costi!B11/30</f>
        <v/>
      </c>
      <c r="C12" s="6">
        <f>0</f>
        <v/>
      </c>
      <c r="D12" s="6">
        <f>C12-B12</f>
        <v/>
      </c>
      <c r="E12" s="6">
        <f>E11+D12</f>
        <v/>
      </c>
    </row>
    <row r="13">
      <c r="A13" s="7" t="n">
        <v>12</v>
      </c>
      <c r="B13" s="6">
        <f>Costi!B11/30</f>
        <v/>
      </c>
      <c r="C13" s="6">
        <f>0</f>
        <v/>
      </c>
      <c r="D13" s="6">
        <f>C13-B13</f>
        <v/>
      </c>
      <c r="E13" s="6">
        <f>E12+D13</f>
        <v/>
      </c>
    </row>
    <row r="14">
      <c r="A14" s="7" t="n">
        <v>13</v>
      </c>
      <c r="B14" s="6">
        <f>Costi!B11/30</f>
        <v/>
      </c>
      <c r="C14" s="6">
        <f>0</f>
        <v/>
      </c>
      <c r="D14" s="6">
        <f>C14-B14</f>
        <v/>
      </c>
      <c r="E14" s="6">
        <f>E13+D14</f>
        <v/>
      </c>
    </row>
    <row r="15">
      <c r="A15" s="7" t="n">
        <v>14</v>
      </c>
      <c r="B15" s="6">
        <f>Costi!B11/30</f>
        <v/>
      </c>
      <c r="C15" s="6">
        <f>0</f>
        <v/>
      </c>
      <c r="D15" s="6">
        <f>C15-B15</f>
        <v/>
      </c>
      <c r="E15" s="6">
        <f>E14+D15</f>
        <v/>
      </c>
    </row>
    <row r="16">
      <c r="A16" s="7" t="n">
        <v>15</v>
      </c>
      <c r="B16" s="6">
        <f>Costi!B11/30</f>
        <v/>
      </c>
      <c r="C16" s="6">
        <f>0</f>
        <v/>
      </c>
      <c r="D16" s="6">
        <f>C16-B16</f>
        <v/>
      </c>
      <c r="E16" s="6">
        <f>E15+D16</f>
        <v/>
      </c>
    </row>
    <row r="17">
      <c r="A17" s="7" t="n">
        <v>16</v>
      </c>
      <c r="B17" s="6">
        <f>Costi!B11/30</f>
        <v/>
      </c>
      <c r="C17" s="6">
        <f>0</f>
        <v/>
      </c>
      <c r="D17" s="6">
        <f>C17-B17</f>
        <v/>
      </c>
      <c r="E17" s="6">
        <f>E16+D17</f>
        <v/>
      </c>
    </row>
    <row r="18">
      <c r="A18" s="7" t="n">
        <v>17</v>
      </c>
      <c r="B18" s="6">
        <f>Costi!B11/30</f>
        <v/>
      </c>
      <c r="C18" s="6">
        <f>0</f>
        <v/>
      </c>
      <c r="D18" s="6">
        <f>C18-B18</f>
        <v/>
      </c>
      <c r="E18" s="6">
        <f>E17+D18</f>
        <v/>
      </c>
    </row>
    <row r="19">
      <c r="A19" s="7" t="n">
        <v>18</v>
      </c>
      <c r="B19" s="6">
        <f>Costi!B11/30</f>
        <v/>
      </c>
      <c r="C19" s="6">
        <f>0</f>
        <v/>
      </c>
      <c r="D19" s="6">
        <f>C19-B19</f>
        <v/>
      </c>
      <c r="E19" s="6">
        <f>E18+D19</f>
        <v/>
      </c>
    </row>
    <row r="20">
      <c r="A20" s="7" t="n">
        <v>19</v>
      </c>
      <c r="B20" s="6">
        <f>Costi!B11/30</f>
        <v/>
      </c>
      <c r="C20" s="6">
        <f>0</f>
        <v/>
      </c>
      <c r="D20" s="6">
        <f>C20-B20</f>
        <v/>
      </c>
      <c r="E20" s="6">
        <f>E19+D20</f>
        <v/>
      </c>
    </row>
    <row r="21">
      <c r="A21" s="7" t="n">
        <v>20</v>
      </c>
      <c r="B21" s="6">
        <f>Costi!B11/30</f>
        <v/>
      </c>
      <c r="C21" s="6">
        <f>0</f>
        <v/>
      </c>
      <c r="D21" s="6">
        <f>C21-B21</f>
        <v/>
      </c>
      <c r="E21" s="6">
        <f>E20+D21</f>
        <v/>
      </c>
    </row>
    <row r="22">
      <c r="A22" s="7" t="n">
        <v>21</v>
      </c>
      <c r="B22" s="6">
        <f>Costi!B11/30</f>
        <v/>
      </c>
      <c r="C22" s="6">
        <f>0</f>
        <v/>
      </c>
      <c r="D22" s="6">
        <f>C22-B22</f>
        <v/>
      </c>
      <c r="E22" s="6">
        <f>E21+D22</f>
        <v/>
      </c>
    </row>
    <row r="23">
      <c r="A23" s="7" t="n">
        <v>22</v>
      </c>
      <c r="B23" s="6">
        <f>Costi!B11/30</f>
        <v/>
      </c>
      <c r="C23" s="6">
        <f>0</f>
        <v/>
      </c>
      <c r="D23" s="6">
        <f>C23-B23</f>
        <v/>
      </c>
      <c r="E23" s="6">
        <f>E22+D23</f>
        <v/>
      </c>
    </row>
    <row r="24">
      <c r="A24" s="7" t="n">
        <v>23</v>
      </c>
      <c r="B24" s="6">
        <f>Costi!B11/30</f>
        <v/>
      </c>
      <c r="C24" s="6">
        <f>0</f>
        <v/>
      </c>
      <c r="D24" s="6">
        <f>C24-B24</f>
        <v/>
      </c>
      <c r="E24" s="6">
        <f>E23+D24</f>
        <v/>
      </c>
    </row>
    <row r="25">
      <c r="A25" s="7" t="n">
        <v>24</v>
      </c>
      <c r="B25" s="6">
        <f>Costi!B11/30</f>
        <v/>
      </c>
      <c r="C25" s="6">
        <f>Ricavi!B4/13</f>
        <v/>
      </c>
      <c r="D25" s="6">
        <f>C25-B25</f>
        <v/>
      </c>
      <c r="E25" s="6">
        <f>E24+D25</f>
        <v/>
      </c>
    </row>
    <row r="26">
      <c r="A26" s="7" t="n">
        <v>25</v>
      </c>
      <c r="B26" s="6">
        <f>Costi!B11/30</f>
        <v/>
      </c>
      <c r="C26" s="6">
        <f>Ricavi!B4/13</f>
        <v/>
      </c>
      <c r="D26" s="6">
        <f>C26-B26</f>
        <v/>
      </c>
      <c r="E26" s="6">
        <f>E25+D26</f>
        <v/>
      </c>
    </row>
    <row r="27">
      <c r="A27" s="7" t="n">
        <v>26</v>
      </c>
      <c r="B27" s="6">
        <f>Costi!B11/30</f>
        <v/>
      </c>
      <c r="C27" s="6">
        <f>Ricavi!B4/13</f>
        <v/>
      </c>
      <c r="D27" s="6">
        <f>C27-B27</f>
        <v/>
      </c>
      <c r="E27" s="6">
        <f>E26+D27</f>
        <v/>
      </c>
    </row>
    <row r="28">
      <c r="A28" s="7" t="n">
        <v>27</v>
      </c>
      <c r="B28" s="6">
        <f>Costi!B11/30</f>
        <v/>
      </c>
      <c r="C28" s="6">
        <f>Ricavi!B4/13</f>
        <v/>
      </c>
      <c r="D28" s="6">
        <f>C28-B28</f>
        <v/>
      </c>
      <c r="E28" s="6">
        <f>E27+D28</f>
        <v/>
      </c>
    </row>
    <row r="29">
      <c r="A29" s="7" t="n">
        <v>28</v>
      </c>
      <c r="B29" s="6">
        <f>Costi!B11/30</f>
        <v/>
      </c>
      <c r="C29" s="6">
        <f>Ricavi!B4/13</f>
        <v/>
      </c>
      <c r="D29" s="6">
        <f>C29-B29</f>
        <v/>
      </c>
      <c r="E29" s="6">
        <f>E28+D29</f>
        <v/>
      </c>
    </row>
    <row r="30">
      <c r="A30" s="7" t="n">
        <v>29</v>
      </c>
      <c r="B30" s="6">
        <f>Costi!B11/30</f>
        <v/>
      </c>
      <c r="C30" s="6">
        <f>Ricavi!B4/13</f>
        <v/>
      </c>
      <c r="D30" s="6">
        <f>C30-B30</f>
        <v/>
      </c>
      <c r="E30" s="6">
        <f>E29+D30</f>
        <v/>
      </c>
    </row>
    <row r="31">
      <c r="A31" s="7" t="n">
        <v>30</v>
      </c>
      <c r="B31" s="6">
        <f>Costi!B11/30</f>
        <v/>
      </c>
      <c r="C31" s="6">
        <f>Ricavi!B4/13</f>
        <v/>
      </c>
      <c r="D31" s="6">
        <f>C31-B31</f>
        <v/>
      </c>
      <c r="E31" s="6">
        <f>E30+D31</f>
        <v/>
      </c>
    </row>
    <row r="32">
      <c r="A32" s="7" t="n">
        <v>31</v>
      </c>
      <c r="B32" s="6">
        <f>0</f>
        <v/>
      </c>
      <c r="C32" s="6">
        <f>Ricavi!B4/13</f>
        <v/>
      </c>
      <c r="D32" s="6">
        <f>C32-B32</f>
        <v/>
      </c>
      <c r="E32" s="6">
        <f>E31+D32</f>
        <v/>
      </c>
    </row>
    <row r="33">
      <c r="A33" s="7" t="n">
        <v>32</v>
      </c>
      <c r="B33" s="6">
        <f>0</f>
        <v/>
      </c>
      <c r="C33" s="6">
        <f>Ricavi!B4/13</f>
        <v/>
      </c>
      <c r="D33" s="6">
        <f>C33-B33</f>
        <v/>
      </c>
      <c r="E33" s="6">
        <f>E32+D33</f>
        <v/>
      </c>
    </row>
    <row r="34">
      <c r="A34" s="7" t="n">
        <v>33</v>
      </c>
      <c r="B34" s="6">
        <f>0</f>
        <v/>
      </c>
      <c r="C34" s="6">
        <f>Ricavi!B4/13</f>
        <v/>
      </c>
      <c r="D34" s="6">
        <f>C34-B34</f>
        <v/>
      </c>
      <c r="E34" s="6">
        <f>E33+D34</f>
        <v/>
      </c>
    </row>
    <row r="35">
      <c r="A35" s="7" t="n">
        <v>34</v>
      </c>
      <c r="B35" s="6">
        <f>0</f>
        <v/>
      </c>
      <c r="C35" s="6">
        <f>Ricavi!B4/13</f>
        <v/>
      </c>
      <c r="D35" s="6">
        <f>C35-B35</f>
        <v/>
      </c>
      <c r="E35" s="6">
        <f>E34+D35</f>
        <v/>
      </c>
    </row>
    <row r="36">
      <c r="A36" s="7" t="n">
        <v>35</v>
      </c>
      <c r="B36" s="6">
        <f>0</f>
        <v/>
      </c>
      <c r="C36" s="6">
        <f>Ricavi!B4/13</f>
        <v/>
      </c>
      <c r="D36" s="6">
        <f>C36-B36</f>
        <v/>
      </c>
      <c r="E36" s="6">
        <f>E35+D36</f>
        <v/>
      </c>
    </row>
    <row r="37">
      <c r="A37" s="7" t="n">
        <v>36</v>
      </c>
      <c r="B37" s="6">
        <f>0</f>
        <v/>
      </c>
      <c r="C37" s="6">
        <f>Ricavi!B4/13</f>
        <v/>
      </c>
      <c r="D37" s="6">
        <f>C37-B37</f>
        <v/>
      </c>
      <c r="E37" s="6">
        <f>E36+D37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</cols>
  <sheetData>
    <row r="1">
      <c r="A1" s="1" t="inlineStr">
        <is>
          <t>Voce</t>
        </is>
      </c>
      <c r="B1" s="1" t="inlineStr">
        <is>
          <t>Importo</t>
        </is>
      </c>
    </row>
    <row r="2">
      <c r="A2" s="2" t="inlineStr">
        <is>
          <t>Ricavi Netti</t>
        </is>
      </c>
      <c r="B2" s="6">
        <f>Ricavi!B4</f>
        <v/>
      </c>
    </row>
    <row r="3">
      <c r="A3" s="2" t="inlineStr">
        <is>
          <t>Costi Totali</t>
        </is>
      </c>
      <c r="B3" s="6">
        <f>Costi!B11</f>
        <v/>
      </c>
    </row>
    <row r="4">
      <c r="A4" s="2" t="inlineStr">
        <is>
          <t>Utile Lordo</t>
        </is>
      </c>
      <c r="B4" s="6">
        <f>B2-B3</f>
        <v/>
      </c>
    </row>
    <row r="5">
      <c r="A5" s="2" t="inlineStr">
        <is>
          <t>Oneri Finanziari</t>
        </is>
      </c>
      <c r="B5" s="6">
        <f>PianoFinanziario!B5</f>
        <v/>
      </c>
    </row>
    <row r="6">
      <c r="A6" s="2" t="inlineStr">
        <is>
          <t>Utile Netto</t>
        </is>
      </c>
      <c r="B6" s="6">
        <f>B4-B5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</cols>
  <sheetData>
    <row r="1">
      <c r="A1" s="1" t="inlineStr">
        <is>
          <t>Indice</t>
        </is>
      </c>
      <c r="B1" s="1" t="inlineStr">
        <is>
          <t>Valore</t>
        </is>
      </c>
    </row>
    <row r="2">
      <c r="A2" s="2" t="inlineStr">
        <is>
          <t>ROI</t>
        </is>
      </c>
      <c r="B2" s="8">
        <f>ContoEconomico!B4/Costi!B11</f>
        <v/>
      </c>
    </row>
    <row r="3">
      <c r="A3" s="2" t="inlineStr">
        <is>
          <t>ROE</t>
        </is>
      </c>
      <c r="B3" s="8">
        <f>ContoEconomico!B6/PianoFinanziario!B3</f>
        <v/>
      </c>
    </row>
    <row r="4">
      <c r="A4" s="2" t="inlineStr">
        <is>
          <t>IRR (approssimato)</t>
        </is>
      </c>
      <c r="B4" s="8">
        <f>ROI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Prezzo\Costo</t>
        </is>
      </c>
      <c r="B1" s="9" t="n">
        <v>2000</v>
      </c>
      <c r="C1" s="9" t="n">
        <v>2100</v>
      </c>
      <c r="D1" s="9" t="n">
        <v>2200</v>
      </c>
      <c r="E1" s="9" t="n">
        <v>2300</v>
      </c>
      <c r="F1" s="9" t="n">
        <v>2400</v>
      </c>
    </row>
    <row r="2">
      <c r="A2" s="9" t="n">
        <v>800</v>
      </c>
      <c r="B2" s="8">
        <f>(2000.0*Assumptions!B12 - (800.0*Assumptions!B12 + Costi!B2 + (Assumptions!B5+Assumptions!B6+Assumptions!B7)*800.0*Assumptions!B12 + Assumptions!B8*2000.0*Assumptions!B12 + Assumptions!B9*PianoFinanziario!B4 + Assumptions!B10*(Costi!B2+800.0*Assumptions!B12+Assumptions!B4*Assumptions!B12+(Assumptions!B5+Assumptions!B6+Assumptions!B7)*800.0*Assumptions!B12+Assumptions!B8*2000.0*Assumptions!B12+Assumptions!B9*PianoFinanziario!B4)))/(800.0*Assumptions!B12 + Costi!B2 + (Assumptions!B5+Assumptions!B6+Assumptions!B7)*800.0*Assumptions!B12 + Assumptions!B8*2000.0*Assumptions!B12 + Assumptions!B9*PianoFinanziario!B4 + Assumptions!B10*(Costi!B2+800.0*Assumptions!B12+Assumptions!B4*Assumptions!B12+(Assumptions!B5+Assumptions!B6+Assumptions!B7)*800.0*Assumptions!B12+Assumptions!B8*2000.0*Assumptions!B12+Assumptions!B9*PianoFinanziario!B4))</f>
        <v/>
      </c>
      <c r="C2" s="8">
        <f>(2100.0*Assumptions!B12 - (800.0*Assumptions!B12 + Costi!B2 + (Assumptions!B5+Assumptions!B6+Assumptions!B7)*800.0*Assumptions!B12 + Assumptions!B8*2100.0*Assumptions!B12 + Assumptions!B9*PianoFinanziario!B4 + Assumptions!B10*(Costi!B2+800.0*Assumptions!B12+Assumptions!B4*Assumptions!B12+(Assumptions!B5+Assumptions!B6+Assumptions!B7)*800.0*Assumptions!B12+Assumptions!B8*2100.0*Assumptions!B12+Assumptions!B9*PianoFinanziario!B4)))/(800.0*Assumptions!B12 + Costi!B2 + (Assumptions!B5+Assumptions!B6+Assumptions!B7)*800.0*Assumptions!B12 + Assumptions!B8*2100.0*Assumptions!B12 + Assumptions!B9*PianoFinanziario!B4 + Assumptions!B10*(Costi!B2+800.0*Assumptions!B12+Assumptions!B4*Assumptions!B12+(Assumptions!B5+Assumptions!B6+Assumptions!B7)*800.0*Assumptions!B12+Assumptions!B8*2100.0*Assumptions!B12+Assumptions!B9*PianoFinanziario!B4))</f>
        <v/>
      </c>
      <c r="D2" s="8">
        <f>(2200*Assumptions!B12 - (800.0*Assumptions!B12 + Costi!B2 + (Assumptions!B5+Assumptions!B6+Assumptions!B7)*800.0*Assumptions!B12 + Assumptions!B8*2200*Assumptions!B12 + Assumptions!B9*PianoFinanziario!B4 + Assumptions!B10*(Costi!B2+800.0*Assumptions!B12+Assumptions!B4*Assumptions!B12+(Assumptions!B5+Assumptions!B6+Assumptions!B7)*800.0*Assumptions!B12+Assumptions!B8*2200*Assumptions!B12+Assumptions!B9*PianoFinanziario!B4)))/(800.0*Assumptions!B12 + Costi!B2 + (Assumptions!B5+Assumptions!B6+Assumptions!B7)*800.0*Assumptions!B12 + Assumptions!B8*2200*Assumptions!B12 + Assumptions!B9*PianoFinanziario!B4 + Assumptions!B10*(Costi!B2+800.0*Assumptions!B12+Assumptions!B4*Assumptions!B12+(Assumptions!B5+Assumptions!B6+Assumptions!B7)*800.0*Assumptions!B12+Assumptions!B8*2200*Assumptions!B12+Assumptions!B9*PianoFinanziario!B4))</f>
        <v/>
      </c>
      <c r="E2" s="8">
        <f>(2300.0*Assumptions!B12 - (800.0*Assumptions!B12 + Costi!B2 + (Assumptions!B5+Assumptions!B6+Assumptions!B7)*800.0*Assumptions!B12 + Assumptions!B8*2300.0*Assumptions!B12 + Assumptions!B9*PianoFinanziario!B4 + Assumptions!B10*(Costi!B2+800.0*Assumptions!B12+Assumptions!B4*Assumptions!B12+(Assumptions!B5+Assumptions!B6+Assumptions!B7)*800.0*Assumptions!B12+Assumptions!B8*2300.0*Assumptions!B12+Assumptions!B9*PianoFinanziario!B4)))/(800.0*Assumptions!B12 + Costi!B2 + (Assumptions!B5+Assumptions!B6+Assumptions!B7)*800.0*Assumptions!B12 + Assumptions!B8*2300.0*Assumptions!B12 + Assumptions!B9*PianoFinanziario!B4 + Assumptions!B10*(Costi!B2+800.0*Assumptions!B12+Assumptions!B4*Assumptions!B12+(Assumptions!B5+Assumptions!B6+Assumptions!B7)*800.0*Assumptions!B12+Assumptions!B8*2300.0*Assumptions!B12+Assumptions!B9*PianoFinanziario!B4))</f>
        <v/>
      </c>
      <c r="F2" s="8">
        <f>(2400.0*Assumptions!B12 - (800.0*Assumptions!B12 + Costi!B2 + (Assumptions!B5+Assumptions!B6+Assumptions!B7)*800.0*Assumptions!B12 + Assumptions!B8*2400.0*Assumptions!B12 + Assumptions!B9*PianoFinanziario!B4 + Assumptions!B10*(Costi!B2+800.0*Assumptions!B12+Assumptions!B4*Assumptions!B12+(Assumptions!B5+Assumptions!B6+Assumptions!B7)*800.0*Assumptions!B12+Assumptions!B8*2400.0*Assumptions!B12+Assumptions!B9*PianoFinanziario!B4)))/(800.0*Assumptions!B12 + Costi!B2 + (Assumptions!B5+Assumptions!B6+Assumptions!B7)*800.0*Assumptions!B12 + Assumptions!B8*2400.0*Assumptions!B12 + Assumptions!B9*PianoFinanziario!B4 + Assumptions!B10*(Costi!B2+800.0*Assumptions!B12+Assumptions!B4*Assumptions!B12+(Assumptions!B5+Assumptions!B6+Assumptions!B7)*800.0*Assumptions!B12+Assumptions!B8*2400.0*Assumptions!B12+Assumptions!B9*PianoFinanziario!B4))</f>
        <v/>
      </c>
    </row>
    <row r="3">
      <c r="A3" s="9" t="n">
        <v>800</v>
      </c>
      <c r="B3" s="8">
        <f>(2000.0*Assumptions!B12 - (800.0*Assumptions!B12 + Costi!B2 + (Assumptions!B5+Assumptions!B6+Assumptions!B7)*800.0*Assumptions!B12 + Assumptions!B8*2000.0*Assumptions!B12 + Assumptions!B9*PianoFinanziario!B4 + Assumptions!B10*(Costi!B2+800.0*Assumptions!B12+Assumptions!B4*Assumptions!B12+(Assumptions!B5+Assumptions!B6+Assumptions!B7)*800.0*Assumptions!B12+Assumptions!B8*2000.0*Assumptions!B12+Assumptions!B9*PianoFinanziario!B4)))/(800.0*Assumptions!B12 + Costi!B2 + (Assumptions!B5+Assumptions!B6+Assumptions!B7)*800.0*Assumptions!B12 + Assumptions!B8*2000.0*Assumptions!B12 + Assumptions!B9*PianoFinanziario!B4 + Assumptions!B10*(Costi!B2+800.0*Assumptions!B12+Assumptions!B4*Assumptions!B12+(Assumptions!B5+Assumptions!B6+Assumptions!B7)*800.0*Assumptions!B12+Assumptions!B8*2000.0*Assumptions!B12+Assumptions!B9*PianoFinanziario!B4))</f>
        <v/>
      </c>
      <c r="C3" s="8">
        <f>(2100.0*Assumptions!B12 - (800.0*Assumptions!B12 + Costi!B2 + (Assumptions!B5+Assumptions!B6+Assumptions!B7)*800.0*Assumptions!B12 + Assumptions!B8*2100.0*Assumptions!B12 + Assumptions!B9*PianoFinanziario!B4 + Assumptions!B10*(Costi!B2+800.0*Assumptions!B12+Assumptions!B4*Assumptions!B12+(Assumptions!B5+Assumptions!B6+Assumptions!B7)*800.0*Assumptions!B12+Assumptions!B8*2100.0*Assumptions!B12+Assumptions!B9*PianoFinanziario!B4)))/(800.0*Assumptions!B12 + Costi!B2 + (Assumptions!B5+Assumptions!B6+Assumptions!B7)*800.0*Assumptions!B12 + Assumptions!B8*2100.0*Assumptions!B12 + Assumptions!B9*PianoFinanziario!B4 + Assumptions!B10*(Costi!B2+800.0*Assumptions!B12+Assumptions!B4*Assumptions!B12+(Assumptions!B5+Assumptions!B6+Assumptions!B7)*800.0*Assumptions!B12+Assumptions!B8*2100.0*Assumptions!B12+Assumptions!B9*PianoFinanziario!B4))</f>
        <v/>
      </c>
      <c r="D3" s="8">
        <f>(2200*Assumptions!B12 - (800.0*Assumptions!B12 + Costi!B2 + (Assumptions!B5+Assumptions!B6+Assumptions!B7)*800.0*Assumptions!B12 + Assumptions!B8*2200*Assumptions!B12 + Assumptions!B9*PianoFinanziario!B4 + Assumptions!B10*(Costi!B2+800.0*Assumptions!B12+Assumptions!B4*Assumptions!B12+(Assumptions!B5+Assumptions!B6+Assumptions!B7)*800.0*Assumptions!B12+Assumptions!B8*2200*Assumptions!B12+Assumptions!B9*PianoFinanziario!B4)))/(800.0*Assumptions!B12 + Costi!B2 + (Assumptions!B5+Assumptions!B6+Assumptions!B7)*800.0*Assumptions!B12 + Assumptions!B8*2200*Assumptions!B12 + Assumptions!B9*PianoFinanziario!B4 + Assumptions!B10*(Costi!B2+800.0*Assumptions!B12+Assumptions!B4*Assumptions!B12+(Assumptions!B5+Assumptions!B6+Assumptions!B7)*800.0*Assumptions!B12+Assumptions!B8*2200*Assumptions!B12+Assumptions!B9*PianoFinanziario!B4))</f>
        <v/>
      </c>
      <c r="E3" s="8">
        <f>(2300.0*Assumptions!B12 - (800.0*Assumptions!B12 + Costi!B2 + (Assumptions!B5+Assumptions!B6+Assumptions!B7)*800.0*Assumptions!B12 + Assumptions!B8*2300.0*Assumptions!B12 + Assumptions!B9*PianoFinanziario!B4 + Assumptions!B10*(Costi!B2+800.0*Assumptions!B12+Assumptions!B4*Assumptions!B12+(Assumptions!B5+Assumptions!B6+Assumptions!B7)*800.0*Assumptions!B12+Assumptions!B8*2300.0*Assumptions!B12+Assumptions!B9*PianoFinanziario!B4)))/(800.0*Assumptions!B12 + Costi!B2 + (Assumptions!B5+Assumptions!B6+Assumptions!B7)*800.0*Assumptions!B12 + Assumptions!B8*2300.0*Assumptions!B12 + Assumptions!B9*PianoFinanziario!B4 + Assumptions!B10*(Costi!B2+800.0*Assumptions!B12+Assumptions!B4*Assumptions!B12+(Assumptions!B5+Assumptions!B6+Assumptions!B7)*800.0*Assumptions!B12+Assumptions!B8*2300.0*Assumptions!B12+Assumptions!B9*PianoFinanziario!B4))</f>
        <v/>
      </c>
      <c r="F3" s="8">
        <f>(2400.0*Assumptions!B12 - (800.0*Assumptions!B12 + Costi!B2 + (Assumptions!B5+Assumptions!B6+Assumptions!B7)*800.0*Assumptions!B12 + Assumptions!B8*2400.0*Assumptions!B12 + Assumptions!B9*PianoFinanziario!B4 + Assumptions!B10*(Costi!B2+800.0*Assumptions!B12+Assumptions!B4*Assumptions!B12+(Assumptions!B5+Assumptions!B6+Assumptions!B7)*800.0*Assumptions!B12+Assumptions!B8*2400.0*Assumptions!B12+Assumptions!B9*PianoFinanziario!B4)))/(800.0*Assumptions!B12 + Costi!B2 + (Assumptions!B5+Assumptions!B6+Assumptions!B7)*800.0*Assumptions!B12 + Assumptions!B8*2400.0*Assumptions!B12 + Assumptions!B9*PianoFinanziario!B4 + Assumptions!B10*(Costi!B2+800.0*Assumptions!B12+Assumptions!B4*Assumptions!B12+(Assumptions!B5+Assumptions!B6+Assumptions!B7)*800.0*Assumptions!B12+Assumptions!B8*2400.0*Assumptions!B12+Assumptions!B9*PianoFinanziario!B4))</f>
        <v/>
      </c>
    </row>
    <row r="4">
      <c r="A4" s="9" t="n">
        <v>800</v>
      </c>
      <c r="B4" s="8">
        <f>(2000.0*Assumptions!B12 - (800*Assumptions!B12 + Costi!B2 + (Assumptions!B5+Assumptions!B6+Assumptions!B7)*800*Assumptions!B12 + Assumptions!B8*2000.0*Assumptions!B12 + Assumptions!B9*PianoFinanziario!B4 + Assumptions!B10*(Costi!B2+800*Assumptions!B12+Assumptions!B4*Assumptions!B12+(Assumptions!B5+Assumptions!B6+Assumptions!B7)*800*Assumptions!B12+Assumptions!B8*2000.0*Assumptions!B12+Assumptions!B9*PianoFinanziario!B4)))/(800*Assumptions!B12 + Costi!B2 + (Assumptions!B5+Assumptions!B6+Assumptions!B7)*800*Assumptions!B12 + Assumptions!B8*2000.0*Assumptions!B12 + Assumptions!B9*PianoFinanziario!B4 + Assumptions!B10*(Costi!B2+800*Assumptions!B12+Assumptions!B4*Assumptions!B12+(Assumptions!B5+Assumptions!B6+Assumptions!B7)*800*Assumptions!B12+Assumptions!B8*2000.0*Assumptions!B12+Assumptions!B9*PianoFinanziario!B4))</f>
        <v/>
      </c>
      <c r="C4" s="8">
        <f>(2100.0*Assumptions!B12 - (800*Assumptions!B12 + Costi!B2 + (Assumptions!B5+Assumptions!B6+Assumptions!B7)*800*Assumptions!B12 + Assumptions!B8*2100.0*Assumptions!B12 + Assumptions!B9*PianoFinanziario!B4 + Assumptions!B10*(Costi!B2+800*Assumptions!B12+Assumptions!B4*Assumptions!B12+(Assumptions!B5+Assumptions!B6+Assumptions!B7)*800*Assumptions!B12+Assumptions!B8*2100.0*Assumptions!B12+Assumptions!B9*PianoFinanziario!B4)))/(800*Assumptions!B12 + Costi!B2 + (Assumptions!B5+Assumptions!B6+Assumptions!B7)*800*Assumptions!B12 + Assumptions!B8*2100.0*Assumptions!B12 + Assumptions!B9*PianoFinanziario!B4 + Assumptions!B10*(Costi!B2+800*Assumptions!B12+Assumptions!B4*Assumptions!B12+(Assumptions!B5+Assumptions!B6+Assumptions!B7)*800*Assumptions!B12+Assumptions!B8*2100.0*Assumptions!B12+Assumptions!B9*PianoFinanziario!B4))</f>
        <v/>
      </c>
      <c r="D4" s="8">
        <f>(2200*Assumptions!B12 - (800*Assumptions!B12 + Costi!B2 + (Assumptions!B5+Assumptions!B6+Assumptions!B7)*800*Assumptions!B12 + Assumptions!B8*2200*Assumptions!B12 + Assumptions!B9*PianoFinanziario!B4 + Assumptions!B10*(Costi!B2+800*Assumptions!B12+Assumptions!B4*Assumptions!B12+(Assumptions!B5+Assumptions!B6+Assumptions!B7)*800*Assumptions!B12+Assumptions!B8*2200*Assumptions!B12+Assumptions!B9*PianoFinanziario!B4)))/(800*Assumptions!B12 + Costi!B2 + (Assumptions!B5+Assumptions!B6+Assumptions!B7)*800*Assumptions!B12 + Assumptions!B8*2200*Assumptions!B12 + Assumptions!B9*PianoFinanziario!B4 + Assumptions!B10*(Costi!B2+800*Assumptions!B12+Assumptions!B4*Assumptions!B12+(Assumptions!B5+Assumptions!B6+Assumptions!B7)*800*Assumptions!B12+Assumptions!B8*2200*Assumptions!B12+Assumptions!B9*PianoFinanziario!B4))</f>
        <v/>
      </c>
      <c r="E4" s="8">
        <f>(2300.0*Assumptions!B12 - (800*Assumptions!B12 + Costi!B2 + (Assumptions!B5+Assumptions!B6+Assumptions!B7)*800*Assumptions!B12 + Assumptions!B8*2300.0*Assumptions!B12 + Assumptions!B9*PianoFinanziario!B4 + Assumptions!B10*(Costi!B2+800*Assumptions!B12+Assumptions!B4*Assumptions!B12+(Assumptions!B5+Assumptions!B6+Assumptions!B7)*800*Assumptions!B12+Assumptions!B8*2300.0*Assumptions!B12+Assumptions!B9*PianoFinanziario!B4)))/(800*Assumptions!B12 + Costi!B2 + (Assumptions!B5+Assumptions!B6+Assumptions!B7)*800*Assumptions!B12 + Assumptions!B8*2300.0*Assumptions!B12 + Assumptions!B9*PianoFinanziario!B4 + Assumptions!B10*(Costi!B2+800*Assumptions!B12+Assumptions!B4*Assumptions!B12+(Assumptions!B5+Assumptions!B6+Assumptions!B7)*800*Assumptions!B12+Assumptions!B8*2300.0*Assumptions!B12+Assumptions!B9*PianoFinanziario!B4))</f>
        <v/>
      </c>
      <c r="F4" s="8">
        <f>(2400.0*Assumptions!B12 - (800*Assumptions!B12 + Costi!B2 + (Assumptions!B5+Assumptions!B6+Assumptions!B7)*800*Assumptions!B12 + Assumptions!B8*2400.0*Assumptions!B12 + Assumptions!B9*PianoFinanziario!B4 + Assumptions!B10*(Costi!B2+800*Assumptions!B12+Assumptions!B4*Assumptions!B12+(Assumptions!B5+Assumptions!B6+Assumptions!B7)*800*Assumptions!B12+Assumptions!B8*2400.0*Assumptions!B12+Assumptions!B9*PianoFinanziario!B4)))/(800*Assumptions!B12 + Costi!B2 + (Assumptions!B5+Assumptions!B6+Assumptions!B7)*800*Assumptions!B12 + Assumptions!B8*2400.0*Assumptions!B12 + Assumptions!B9*PianoFinanziario!B4 + Assumptions!B10*(Costi!B2+800*Assumptions!B12+Assumptions!B4*Assumptions!B12+(Assumptions!B5+Assumptions!B6+Assumptions!B7)*800*Assumptions!B12+Assumptions!B8*2400.0*Assumptions!B12+Assumptions!B9*PianoFinanziario!B4))</f>
        <v/>
      </c>
    </row>
    <row r="5">
      <c r="A5" s="9" t="n">
        <v>900</v>
      </c>
      <c r="B5" s="8">
        <f>(2000.0*Assumptions!B12 - (900.0*Assumptions!B12 + Costi!B2 + (Assumptions!B5+Assumptions!B6+Assumptions!B7)*900.0*Assumptions!B12 + Assumptions!B8*2000.0*Assumptions!B12 + Assumptions!B9*PianoFinanziario!B4 + Assumptions!B10*(Costi!B2+900.0*Assumptions!B12+Assumptions!B4*Assumptions!B12+(Assumptions!B5+Assumptions!B6+Assumptions!B7)*900.0*Assumptions!B12+Assumptions!B8*2000.0*Assumptions!B12+Assumptions!B9*PianoFinanziario!B4)))/(900.0*Assumptions!B12 + Costi!B2 + (Assumptions!B5+Assumptions!B6+Assumptions!B7)*900.0*Assumptions!B12 + Assumptions!B8*2000.0*Assumptions!B12 + Assumptions!B9*PianoFinanziario!B4 + Assumptions!B10*(Costi!B2+900.0*Assumptions!B12+Assumptions!B4*Assumptions!B12+(Assumptions!B5+Assumptions!B6+Assumptions!B7)*900.0*Assumptions!B12+Assumptions!B8*2000.0*Assumptions!B12+Assumptions!B9*PianoFinanziario!B4))</f>
        <v/>
      </c>
      <c r="C5" s="8">
        <f>(2100.0*Assumptions!B12 - (900.0*Assumptions!B12 + Costi!B2 + (Assumptions!B5+Assumptions!B6+Assumptions!B7)*900.0*Assumptions!B12 + Assumptions!B8*2100.0*Assumptions!B12 + Assumptions!B9*PianoFinanziario!B4 + Assumptions!B10*(Costi!B2+900.0*Assumptions!B12+Assumptions!B4*Assumptions!B12+(Assumptions!B5+Assumptions!B6+Assumptions!B7)*900.0*Assumptions!B12+Assumptions!B8*2100.0*Assumptions!B12+Assumptions!B9*PianoFinanziario!B4)))/(900.0*Assumptions!B12 + Costi!B2 + (Assumptions!B5+Assumptions!B6+Assumptions!B7)*900.0*Assumptions!B12 + Assumptions!B8*2100.0*Assumptions!B12 + Assumptions!B9*PianoFinanziario!B4 + Assumptions!B10*(Costi!B2+900.0*Assumptions!B12+Assumptions!B4*Assumptions!B12+(Assumptions!B5+Assumptions!B6+Assumptions!B7)*900.0*Assumptions!B12+Assumptions!B8*2100.0*Assumptions!B12+Assumptions!B9*PianoFinanziario!B4))</f>
        <v/>
      </c>
      <c r="D5" s="8">
        <f>(2200*Assumptions!B12 - (900.0*Assumptions!B12 + Costi!B2 + (Assumptions!B5+Assumptions!B6+Assumptions!B7)*900.0*Assumptions!B12 + Assumptions!B8*2200*Assumptions!B12 + Assumptions!B9*PianoFinanziario!B4 + Assumptions!B10*(Costi!B2+900.0*Assumptions!B12+Assumptions!B4*Assumptions!B12+(Assumptions!B5+Assumptions!B6+Assumptions!B7)*900.0*Assumptions!B12+Assumptions!B8*2200*Assumptions!B12+Assumptions!B9*PianoFinanziario!B4)))/(900.0*Assumptions!B12 + Costi!B2 + (Assumptions!B5+Assumptions!B6+Assumptions!B7)*900.0*Assumptions!B12 + Assumptions!B8*2200*Assumptions!B12 + Assumptions!B9*PianoFinanziario!B4 + Assumptions!B10*(Costi!B2+900.0*Assumptions!B12+Assumptions!B4*Assumptions!B12+(Assumptions!B5+Assumptions!B6+Assumptions!B7)*900.0*Assumptions!B12+Assumptions!B8*2200*Assumptions!B12+Assumptions!B9*PianoFinanziario!B4))</f>
        <v/>
      </c>
      <c r="E5" s="8">
        <f>(2300.0*Assumptions!B12 - (900.0*Assumptions!B12 + Costi!B2 + (Assumptions!B5+Assumptions!B6+Assumptions!B7)*900.0*Assumptions!B12 + Assumptions!B8*2300.0*Assumptions!B12 + Assumptions!B9*PianoFinanziario!B4 + Assumptions!B10*(Costi!B2+900.0*Assumptions!B12+Assumptions!B4*Assumptions!B12+(Assumptions!B5+Assumptions!B6+Assumptions!B7)*900.0*Assumptions!B12+Assumptions!B8*2300.0*Assumptions!B12+Assumptions!B9*PianoFinanziario!B4)))/(900.0*Assumptions!B12 + Costi!B2 + (Assumptions!B5+Assumptions!B6+Assumptions!B7)*900.0*Assumptions!B12 + Assumptions!B8*2300.0*Assumptions!B12 + Assumptions!B9*PianoFinanziario!B4 + Assumptions!B10*(Costi!B2+900.0*Assumptions!B12+Assumptions!B4*Assumptions!B12+(Assumptions!B5+Assumptions!B6+Assumptions!B7)*900.0*Assumptions!B12+Assumptions!B8*2300.0*Assumptions!B12+Assumptions!B9*PianoFinanziario!B4))</f>
        <v/>
      </c>
      <c r="F5" s="8">
        <f>(2400.0*Assumptions!B12 - (900.0*Assumptions!B12 + Costi!B2 + (Assumptions!B5+Assumptions!B6+Assumptions!B7)*900.0*Assumptions!B12 + Assumptions!B8*2400.0*Assumptions!B12 + Assumptions!B9*PianoFinanziario!B4 + Assumptions!B10*(Costi!B2+900.0*Assumptions!B12+Assumptions!B4*Assumptions!B12+(Assumptions!B5+Assumptions!B6+Assumptions!B7)*900.0*Assumptions!B12+Assumptions!B8*2400.0*Assumptions!B12+Assumptions!B9*PianoFinanziario!B4)))/(900.0*Assumptions!B12 + Costi!B2 + (Assumptions!B5+Assumptions!B6+Assumptions!B7)*900.0*Assumptions!B12 + Assumptions!B8*2400.0*Assumptions!B12 + Assumptions!B9*PianoFinanziario!B4 + Assumptions!B10*(Costi!B2+900.0*Assumptions!B12+Assumptions!B4*Assumptions!B12+(Assumptions!B5+Assumptions!B6+Assumptions!B7)*900.0*Assumptions!B12+Assumptions!B8*2400.0*Assumptions!B12+Assumptions!B9*PianoFinanziario!B4))</f>
        <v/>
      </c>
    </row>
    <row r="6">
      <c r="A6" s="9" t="n">
        <v>900</v>
      </c>
      <c r="B6" s="8">
        <f>(2000.0*Assumptions!B12 - (900.0*Assumptions!B12 + Costi!B2 + (Assumptions!B5+Assumptions!B6+Assumptions!B7)*900.0*Assumptions!B12 + Assumptions!B8*2000.0*Assumptions!B12 + Assumptions!B9*PianoFinanziario!B4 + Assumptions!B10*(Costi!B2+900.0*Assumptions!B12+Assumptions!B4*Assumptions!B12+(Assumptions!B5+Assumptions!B6+Assumptions!B7)*900.0*Assumptions!B12+Assumptions!B8*2000.0*Assumptions!B12+Assumptions!B9*PianoFinanziario!B4)))/(900.0*Assumptions!B12 + Costi!B2 + (Assumptions!B5+Assumptions!B6+Assumptions!B7)*900.0*Assumptions!B12 + Assumptions!B8*2000.0*Assumptions!B12 + Assumptions!B9*PianoFinanziario!B4 + Assumptions!B10*(Costi!B2+900.0*Assumptions!B12+Assumptions!B4*Assumptions!B12+(Assumptions!B5+Assumptions!B6+Assumptions!B7)*900.0*Assumptions!B12+Assumptions!B8*2000.0*Assumptions!B12+Assumptions!B9*PianoFinanziario!B4))</f>
        <v/>
      </c>
      <c r="C6" s="8">
        <f>(2100.0*Assumptions!B12 - (900.0*Assumptions!B12 + Costi!B2 + (Assumptions!B5+Assumptions!B6+Assumptions!B7)*900.0*Assumptions!B12 + Assumptions!B8*2100.0*Assumptions!B12 + Assumptions!B9*PianoFinanziario!B4 + Assumptions!B10*(Costi!B2+900.0*Assumptions!B12+Assumptions!B4*Assumptions!B12+(Assumptions!B5+Assumptions!B6+Assumptions!B7)*900.0*Assumptions!B12+Assumptions!B8*2100.0*Assumptions!B12+Assumptions!B9*PianoFinanziario!B4)))/(900.0*Assumptions!B12 + Costi!B2 + (Assumptions!B5+Assumptions!B6+Assumptions!B7)*900.0*Assumptions!B12 + Assumptions!B8*2100.0*Assumptions!B12 + Assumptions!B9*PianoFinanziario!B4 + Assumptions!B10*(Costi!B2+900.0*Assumptions!B12+Assumptions!B4*Assumptions!B12+(Assumptions!B5+Assumptions!B6+Assumptions!B7)*900.0*Assumptions!B12+Assumptions!B8*2100.0*Assumptions!B12+Assumptions!B9*PianoFinanziario!B4))</f>
        <v/>
      </c>
      <c r="D6" s="8">
        <f>(2200*Assumptions!B12 - (900.0*Assumptions!B12 + Costi!B2 + (Assumptions!B5+Assumptions!B6+Assumptions!B7)*900.0*Assumptions!B12 + Assumptions!B8*2200*Assumptions!B12 + Assumptions!B9*PianoFinanziario!B4 + Assumptions!B10*(Costi!B2+900.0*Assumptions!B12+Assumptions!B4*Assumptions!B12+(Assumptions!B5+Assumptions!B6+Assumptions!B7)*900.0*Assumptions!B12+Assumptions!B8*2200*Assumptions!B12+Assumptions!B9*PianoFinanziario!B4)))/(900.0*Assumptions!B12 + Costi!B2 + (Assumptions!B5+Assumptions!B6+Assumptions!B7)*900.0*Assumptions!B12 + Assumptions!B8*2200*Assumptions!B12 + Assumptions!B9*PianoFinanziario!B4 + Assumptions!B10*(Costi!B2+900.0*Assumptions!B12+Assumptions!B4*Assumptions!B12+(Assumptions!B5+Assumptions!B6+Assumptions!B7)*900.0*Assumptions!B12+Assumptions!B8*2200*Assumptions!B12+Assumptions!B9*PianoFinanziario!B4))</f>
        <v/>
      </c>
      <c r="E6" s="8">
        <f>(2300.0*Assumptions!B12 - (900.0*Assumptions!B12 + Costi!B2 + (Assumptions!B5+Assumptions!B6+Assumptions!B7)*900.0*Assumptions!B12 + Assumptions!B8*2300.0*Assumptions!B12 + Assumptions!B9*PianoFinanziario!B4 + Assumptions!B10*(Costi!B2+900.0*Assumptions!B12+Assumptions!B4*Assumptions!B12+(Assumptions!B5+Assumptions!B6+Assumptions!B7)*900.0*Assumptions!B12+Assumptions!B8*2300.0*Assumptions!B12+Assumptions!B9*PianoFinanziario!B4)))/(900.0*Assumptions!B12 + Costi!B2 + (Assumptions!B5+Assumptions!B6+Assumptions!B7)*900.0*Assumptions!B12 + Assumptions!B8*2300.0*Assumptions!B12 + Assumptions!B9*PianoFinanziario!B4 + Assumptions!B10*(Costi!B2+900.0*Assumptions!B12+Assumptions!B4*Assumptions!B12+(Assumptions!B5+Assumptions!B6+Assumptions!B7)*900.0*Assumptions!B12+Assumptions!B8*2300.0*Assumptions!B12+Assumptions!B9*PianoFinanziario!B4))</f>
        <v/>
      </c>
      <c r="F6" s="8">
        <f>(2400.0*Assumptions!B12 - (900.0*Assumptions!B12 + Costi!B2 + (Assumptions!B5+Assumptions!B6+Assumptions!B7)*900.0*Assumptions!B12 + Assumptions!B8*2400.0*Assumptions!B12 + Assumptions!B9*PianoFinanziario!B4 + Assumptions!B10*(Costi!B2+900.0*Assumptions!B12+Assumptions!B4*Assumptions!B12+(Assumptions!B5+Assumptions!B6+Assumptions!B7)*900.0*Assumptions!B12+Assumptions!B8*2400.0*Assumptions!B12+Assumptions!B9*PianoFinanziario!B4)))/(900.0*Assumptions!B12 + Costi!B2 + (Assumptions!B5+Assumptions!B6+Assumptions!B7)*900.0*Assumptions!B12 + Assumptions!B8*2400.0*Assumptions!B12 + Assumptions!B9*PianoFinanziario!B4 + Assumptions!B10*(Costi!B2+900.0*Assumptions!B12+Assumptions!B4*Assumptions!B12+(Assumptions!B5+Assumptions!B6+Assumptions!B7)*900.0*Assumptions!B12+Assumptions!B8*2400.0*Assumptions!B12+Assumptions!B9*PianoFinanziario!B4))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2026-06-04T11:26:01Z</dcterms:created>
  <dcterms:modified xsi:type="dcterms:W3CDTF">2026-06-04T11:26:01Z</dcterms:modified>
</cp:coreProperties>
</file>