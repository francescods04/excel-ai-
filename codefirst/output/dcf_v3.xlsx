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165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2" fontId="0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Assumptions</t>
        </is>
      </c>
      <c r="B1" s="2" t="n"/>
    </row>
    <row r="2">
      <c r="A2" s="3" t="inlineStr">
        <is>
          <t>Tasso Crescita</t>
        </is>
      </c>
      <c r="B2" s="4" t="n">
        <v>0.1</v>
      </c>
    </row>
    <row r="3">
      <c r="A3" s="3" t="inlineStr">
        <is>
          <t>Margine EBITDA</t>
        </is>
      </c>
      <c r="B3" s="4" t="n">
        <v>0.2</v>
      </c>
    </row>
    <row r="4">
      <c r="A4" s="3" t="inlineStr">
        <is>
          <t>WACC</t>
        </is>
      </c>
      <c r="B4" s="4" t="n">
        <v>0.08</v>
      </c>
    </row>
    <row r="5">
      <c r="A5" s="3" t="inlineStr">
        <is>
          <t>Aliquota Fiscale</t>
        </is>
      </c>
      <c r="B5" s="4" t="n">
        <v>0.25</v>
      </c>
    </row>
    <row r="6">
      <c r="A6" s="3" t="inlineStr">
        <is>
          <t>Tasso Terminale</t>
        </is>
      </c>
      <c r="B6" s="4" t="n">
        <v>0.025</v>
      </c>
    </row>
    <row r="7">
      <c r="A7" s="3" t="inlineStr">
        <is>
          <t>Anni</t>
        </is>
      </c>
      <c r="B7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Projections</t>
        </is>
      </c>
      <c r="B1" s="2" t="n"/>
      <c r="C1" s="2" t="n"/>
      <c r="D1" s="2" t="n"/>
      <c r="E1" s="2" t="n"/>
      <c r="F1" s="2" t="n"/>
    </row>
    <row r="2">
      <c r="A2" s="1" t="inlineStr">
        <is>
          <t>Anno</t>
        </is>
      </c>
      <c r="B2" s="5" t="n">
        <v>1</v>
      </c>
      <c r="C2" s="5">
        <f>B2+1</f>
        <v/>
      </c>
      <c r="D2" s="5">
        <f>C2+1</f>
        <v/>
      </c>
      <c r="E2" s="5">
        <f>D2+1</f>
        <v/>
      </c>
      <c r="F2" s="5">
        <f>E2+1</f>
        <v/>
      </c>
    </row>
    <row r="3">
      <c r="A3" s="3" t="inlineStr">
        <is>
          <t>Revenue</t>
        </is>
      </c>
      <c r="B3" s="6" t="n">
        <v>1000</v>
      </c>
      <c r="C3" s="7">
        <f>B3*(1+Assumptions!$B$2)</f>
        <v/>
      </c>
      <c r="D3" s="7">
        <f>C3*(1+Assumptions!$B$2)</f>
        <v/>
      </c>
      <c r="E3" s="7">
        <f>D3*(1+Assumptions!$B$2)</f>
        <v/>
      </c>
      <c r="F3" s="7">
        <f>E3*(1+Assumptions!$B$2)</f>
        <v/>
      </c>
    </row>
    <row r="4">
      <c r="A4" s="3" t="inlineStr">
        <is>
          <t>EBITDA</t>
        </is>
      </c>
      <c r="B4" s="8">
        <f>B3*Assumptions!$B$3</f>
        <v/>
      </c>
      <c r="C4" s="8">
        <f>C3*Assumptions!$B$3</f>
        <v/>
      </c>
      <c r="D4" s="8">
        <f>D3*Assumptions!$B$3</f>
        <v/>
      </c>
      <c r="E4" s="8">
        <f>E3*Assumptions!$B$3</f>
        <v/>
      </c>
      <c r="F4" s="8">
        <f>F3*Assumptions!$B$3</f>
        <v/>
      </c>
    </row>
    <row r="5">
      <c r="A5" s="3" t="inlineStr">
        <is>
          <t>EBIT</t>
        </is>
      </c>
      <c r="B5" s="8">
        <f>B4</f>
        <v/>
      </c>
      <c r="C5" s="8">
        <f>C4</f>
        <v/>
      </c>
      <c r="D5" s="8">
        <f>D4</f>
        <v/>
      </c>
      <c r="E5" s="8">
        <f>E4</f>
        <v/>
      </c>
      <c r="F5" s="8">
        <f>F4</f>
        <v/>
      </c>
    </row>
    <row r="6">
      <c r="A6" s="3" t="inlineStr">
        <is>
          <t>Tasse</t>
        </is>
      </c>
      <c r="B6" s="8">
        <f>B5*Assumptions!$B$5</f>
        <v/>
      </c>
      <c r="C6" s="8">
        <f>C5*Assumptions!$B$5</f>
        <v/>
      </c>
      <c r="D6" s="8">
        <f>D5*Assumptions!$B$5</f>
        <v/>
      </c>
      <c r="E6" s="8">
        <f>E5*Assumptions!$B$5</f>
        <v/>
      </c>
      <c r="F6" s="8">
        <f>F5*Assumptions!$B$5</f>
        <v/>
      </c>
    </row>
    <row r="7">
      <c r="A7" s="3" t="inlineStr">
        <is>
          <t>NOPAT</t>
        </is>
      </c>
      <c r="B7" s="8">
        <f>B5-B6</f>
        <v/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</row>
    <row r="8">
      <c r="A8" s="3" t="inlineStr">
        <is>
          <t>FCF</t>
        </is>
      </c>
      <c r="B8" s="8">
        <f>B7</f>
        <v/>
      </c>
      <c r="C8" s="8">
        <f>C7</f>
        <v/>
      </c>
      <c r="D8" s="8">
        <f>D7</f>
        <v/>
      </c>
      <c r="E8" s="8">
        <f>E7</f>
        <v/>
      </c>
      <c r="F8" s="8">
        <f>F7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Valuation</t>
        </is>
      </c>
      <c r="B1" s="2" t="n"/>
    </row>
    <row r="2">
      <c r="A2" s="3" t="inlineStr">
        <is>
          <t>Terminal Value</t>
        </is>
      </c>
      <c r="B2" s="8">
        <f>Projections!F8*(1+Assumptions!$B$6)/(Assumptions!$B$4-Assumptions!$B$6)</f>
        <v/>
      </c>
    </row>
    <row r="3">
      <c r="A3" s="3" t="inlineStr">
        <is>
          <t>Discount Factor Anno 1</t>
        </is>
      </c>
      <c r="B3" s="9">
        <f>1/(1+Assumptions!$B$4)^1</f>
        <v/>
      </c>
    </row>
    <row r="4">
      <c r="A4" s="3" t="inlineStr">
        <is>
          <t>Discount Factor Anno 2</t>
        </is>
      </c>
      <c r="B4" s="9">
        <f>1/(1+Assumptions!$B$4)^2</f>
        <v/>
      </c>
    </row>
    <row r="5">
      <c r="A5" s="3" t="inlineStr">
        <is>
          <t>Discount Factor Anno 3</t>
        </is>
      </c>
      <c r="B5" s="9">
        <f>1/(1+Assumptions!$B$4)^3</f>
        <v/>
      </c>
    </row>
    <row r="6">
      <c r="A6" s="3" t="inlineStr">
        <is>
          <t>Discount Factor Anno 4</t>
        </is>
      </c>
      <c r="B6" s="9">
        <f>1/(1+Assumptions!$B$4)^4</f>
        <v/>
      </c>
    </row>
    <row r="7">
      <c r="A7" s="3" t="inlineStr">
        <is>
          <t>Discount Factor Anno 5</t>
        </is>
      </c>
      <c r="B7" s="9">
        <f>1/(1+Assumptions!$B$4)^5</f>
        <v/>
      </c>
    </row>
    <row r="8">
      <c r="A8" s="3" t="inlineStr">
        <is>
          <t>PV FCF Anno 1</t>
        </is>
      </c>
      <c r="B8" s="8">
        <f>Projections!B8*B3</f>
        <v/>
      </c>
    </row>
    <row r="9">
      <c r="A9" s="3" t="inlineStr">
        <is>
          <t>PV FCF Anno 2</t>
        </is>
      </c>
      <c r="B9" s="8">
        <f>Projections!C8*B4</f>
        <v/>
      </c>
    </row>
    <row r="10">
      <c r="A10" s="3" t="inlineStr">
        <is>
          <t>PV FCF Anno 3</t>
        </is>
      </c>
      <c r="B10" s="8">
        <f>Projections!D8*B5</f>
        <v/>
      </c>
    </row>
    <row r="11">
      <c r="A11" s="3" t="inlineStr">
        <is>
          <t>PV FCF Anno 4</t>
        </is>
      </c>
      <c r="B11" s="8">
        <f>Projections!E8*B6</f>
        <v/>
      </c>
    </row>
    <row r="12">
      <c r="A12" s="3" t="inlineStr">
        <is>
          <t>PV FCF Anno 5</t>
        </is>
      </c>
      <c r="B12" s="8">
        <f>Projections!F8*B7</f>
        <v/>
      </c>
    </row>
    <row r="13">
      <c r="A13" s="3" t="inlineStr">
        <is>
          <t>PV Terminal Value</t>
        </is>
      </c>
      <c r="B13" s="8">
        <f>B2*B7</f>
        <v/>
      </c>
    </row>
    <row r="14">
      <c r="A14" s="10" t="inlineStr">
        <is>
          <t>Enterprise Value</t>
        </is>
      </c>
      <c r="B14" s="8">
        <f>SUM(B8:B13)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2026-06-04T11:40:55Z</dcterms:created>
  <dcterms:modified xsi:type="dcterms:W3CDTF">2026-06-04T11:40:55Z</dcterms:modified>
</cp:coreProperties>
</file>